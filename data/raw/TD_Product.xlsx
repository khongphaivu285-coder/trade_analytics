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u.tran\Documents\MasterFile\"/>
    </mc:Choice>
  </mc:AlternateContent>
  <xr:revisionPtr revIDLastSave="0" documentId="13_ncr:1_{AB0A9558-CDFD-4910-8523-20DC53F341CB}" xr6:coauthVersionLast="36" xr6:coauthVersionMax="36" xr10:uidLastSave="{00000000-0000-0000-0000-000000000000}"/>
  <bookViews>
    <workbookView xWindow="0" yWindow="0" windowWidth="19200" windowHeight="6200" xr2:uid="{58A35E08-B20F-48E1-9A94-650D0B381C38}"/>
  </bookViews>
  <sheets>
    <sheet name="TD_Product" sheetId="1" r:id="rId1"/>
    <sheet name="RelatedName_SKU" sheetId="3" r:id="rId2"/>
    <sheet name="Helper" sheetId="2" r:id="rId3"/>
  </sheets>
  <definedNames>
    <definedName name="_xlnm._FilterDatabase" localSheetId="1" hidden="1">RelatedName_SKU!$A$1:$M$105</definedName>
    <definedName name="_xlnm._FilterDatabase" localSheetId="0" hidden="1">TD_Product!$A$1:$U$127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27" i="1" l="1"/>
  <c r="E127" i="1"/>
  <c r="I124" i="1" l="1"/>
  <c r="E124" i="1" s="1"/>
  <c r="I125" i="1"/>
  <c r="E125" i="1" s="1"/>
  <c r="I126" i="1"/>
  <c r="E126" i="1" s="1"/>
  <c r="I123" i="1"/>
  <c r="E123" i="1" s="1"/>
  <c r="I122" i="1"/>
  <c r="E122" i="1" s="1"/>
  <c r="I121" i="1"/>
  <c r="E121" i="1" s="1"/>
  <c r="I120" i="1"/>
  <c r="E120" i="1" s="1"/>
  <c r="I119" i="1"/>
  <c r="E119" i="1" s="1"/>
  <c r="I118" i="1"/>
  <c r="E118" i="1" s="1"/>
  <c r="I117" i="1"/>
  <c r="E117" i="1" s="1"/>
  <c r="I116" i="1" l="1"/>
  <c r="E116" i="1" s="1"/>
  <c r="I115" i="1"/>
  <c r="E115" i="1" s="1"/>
  <c r="I114" i="1"/>
  <c r="E114" i="1" s="1"/>
  <c r="I113" i="1"/>
  <c r="E113" i="1" s="1"/>
  <c r="I112" i="1"/>
  <c r="E112" i="1" s="1"/>
  <c r="I111" i="1"/>
  <c r="E111" i="1" s="1"/>
  <c r="I110" i="1"/>
  <c r="E110" i="1" s="1"/>
  <c r="I109" i="1"/>
  <c r="E109" i="1" s="1"/>
  <c r="I108" i="1"/>
  <c r="E108" i="1" s="1"/>
  <c r="I107" i="1"/>
  <c r="E107" i="1" s="1"/>
  <c r="I106" i="1"/>
  <c r="E106" i="1" s="1"/>
  <c r="I105" i="1" l="1"/>
  <c r="E105" i="1" s="1"/>
  <c r="I104" i="1"/>
  <c r="E104" i="1" s="1"/>
  <c r="I103" i="1"/>
  <c r="E103" i="1" s="1"/>
  <c r="I102" i="1"/>
  <c r="E102" i="1" s="1"/>
  <c r="I101" i="1"/>
  <c r="E101" i="1" s="1"/>
  <c r="A74" i="1" l="1"/>
  <c r="A71" i="1"/>
  <c r="A69" i="1"/>
  <c r="A67" i="1"/>
  <c r="A65" i="1"/>
  <c r="A63" i="1"/>
  <c r="A61" i="1"/>
  <c r="A59" i="1"/>
  <c r="A57" i="1"/>
  <c r="A55" i="1"/>
  <c r="A53" i="1"/>
  <c r="A51" i="1"/>
  <c r="A49" i="1"/>
  <c r="A47" i="1"/>
  <c r="A45" i="1"/>
  <c r="A40" i="1"/>
  <c r="A37" i="1"/>
  <c r="A35" i="1"/>
  <c r="A32" i="1"/>
  <c r="A30" i="1"/>
  <c r="A28" i="1"/>
  <c r="I100" i="1" l="1"/>
  <c r="E100" i="1" s="1"/>
  <c r="I99" i="1"/>
  <c r="E99" i="1" s="1"/>
  <c r="I98" i="1"/>
  <c r="E98" i="1" s="1"/>
  <c r="I97" i="1"/>
  <c r="E97" i="1" s="1"/>
  <c r="I96" i="1"/>
  <c r="E96" i="1" s="1"/>
  <c r="I95" i="1"/>
  <c r="E95" i="1" s="1"/>
  <c r="I94" i="1"/>
  <c r="E94" i="1" s="1"/>
  <c r="I93" i="1"/>
  <c r="E93" i="1" s="1"/>
  <c r="I92" i="1"/>
  <c r="E92" i="1" s="1"/>
  <c r="I91" i="1"/>
  <c r="E91" i="1" s="1"/>
  <c r="I90" i="1"/>
  <c r="E90" i="1" s="1"/>
  <c r="I89" i="1"/>
  <c r="E89" i="1" s="1"/>
  <c r="I88" i="1"/>
  <c r="E88" i="1" s="1"/>
  <c r="I87" i="1"/>
  <c r="E87" i="1" s="1"/>
  <c r="I86" i="1"/>
  <c r="E86" i="1" s="1"/>
  <c r="I85" i="1"/>
  <c r="E85" i="1" s="1"/>
  <c r="I84" i="1"/>
  <c r="E84" i="1" s="1"/>
  <c r="I83" i="1"/>
  <c r="E83" i="1" s="1"/>
  <c r="I82" i="1"/>
  <c r="E82" i="1" s="1"/>
  <c r="I81" i="1"/>
  <c r="E81" i="1" s="1"/>
  <c r="I80" i="1"/>
  <c r="E80" i="1" s="1"/>
  <c r="I79" i="1"/>
  <c r="E79" i="1" s="1"/>
  <c r="I78" i="1" l="1"/>
  <c r="E78" i="1" s="1"/>
  <c r="I7" i="1"/>
  <c r="E7" i="1" s="1"/>
  <c r="I75" i="1"/>
  <c r="E75" i="1" s="1"/>
  <c r="I76" i="1"/>
  <c r="E76" i="1" s="1"/>
  <c r="I77" i="1"/>
  <c r="E77" i="1" s="1"/>
  <c r="I73" i="1"/>
  <c r="E73" i="1" s="1"/>
  <c r="I37" i="1" l="1"/>
  <c r="E37" i="1" s="1"/>
  <c r="I35" i="1"/>
  <c r="E35" i="1" s="1"/>
  <c r="I40" i="1"/>
  <c r="E40" i="1" s="1"/>
  <c r="I45" i="1"/>
  <c r="E45" i="1" s="1"/>
  <c r="I47" i="1"/>
  <c r="E47" i="1" s="1"/>
  <c r="I32" i="1"/>
  <c r="E32" i="1" s="1"/>
  <c r="I51" i="1"/>
  <c r="E51" i="1" s="1"/>
  <c r="I53" i="1"/>
  <c r="E53" i="1" s="1"/>
  <c r="I57" i="1"/>
  <c r="E57" i="1" s="1"/>
  <c r="I55" i="1"/>
  <c r="E55" i="1" s="1"/>
  <c r="I59" i="1"/>
  <c r="E59" i="1" s="1"/>
  <c r="I49" i="1"/>
  <c r="E49" i="1" s="1"/>
  <c r="I5" i="1"/>
  <c r="E5" i="1" s="1"/>
  <c r="I3" i="1"/>
  <c r="E3" i="1" s="1"/>
  <c r="I30" i="1"/>
  <c r="E30" i="1" s="1"/>
  <c r="I13" i="1"/>
  <c r="E13" i="1" s="1"/>
  <c r="I19" i="1"/>
  <c r="E19" i="1" s="1"/>
  <c r="I15" i="1"/>
  <c r="E15" i="1" s="1"/>
  <c r="I6" i="1"/>
  <c r="E6" i="1" s="1"/>
  <c r="I11" i="1"/>
  <c r="E11" i="1" s="1"/>
  <c r="I28" i="1"/>
  <c r="E28" i="1" s="1"/>
  <c r="I74" i="1"/>
  <c r="E74" i="1" s="1"/>
  <c r="I63" i="1"/>
  <c r="E63" i="1" s="1"/>
  <c r="I65" i="1"/>
  <c r="E65" i="1" s="1"/>
  <c r="I67" i="1"/>
  <c r="E67" i="1" s="1"/>
  <c r="I69" i="1"/>
  <c r="E69" i="1" s="1"/>
  <c r="I71" i="1"/>
  <c r="E71" i="1" s="1"/>
  <c r="I61" i="1"/>
  <c r="E61" i="1" s="1"/>
  <c r="I44" i="1"/>
  <c r="E44" i="1" s="1"/>
  <c r="I46" i="1"/>
  <c r="E46" i="1" s="1"/>
  <c r="I42" i="1"/>
  <c r="E42" i="1" s="1"/>
  <c r="I43" i="1"/>
  <c r="E43" i="1" s="1"/>
  <c r="I41" i="1"/>
  <c r="E41" i="1" s="1"/>
  <c r="I39" i="1"/>
  <c r="E39" i="1" s="1"/>
  <c r="I33" i="1"/>
  <c r="E33" i="1" s="1"/>
  <c r="I36" i="1"/>
  <c r="E36" i="1" s="1"/>
  <c r="I38" i="1"/>
  <c r="E38" i="1" s="1"/>
  <c r="I31" i="1"/>
  <c r="E31" i="1" s="1"/>
  <c r="I34" i="1"/>
  <c r="E34" i="1" s="1"/>
  <c r="I50" i="1"/>
  <c r="E50" i="1" s="1"/>
  <c r="I52" i="1"/>
  <c r="E52" i="1" s="1"/>
  <c r="I54" i="1"/>
  <c r="E54" i="1" s="1"/>
  <c r="I56" i="1"/>
  <c r="E56" i="1" s="1"/>
  <c r="I58" i="1"/>
  <c r="E58" i="1" s="1"/>
  <c r="I48" i="1"/>
  <c r="E48" i="1" s="1"/>
  <c r="I22" i="1"/>
  <c r="E22" i="1" s="1"/>
  <c r="I23" i="1"/>
  <c r="E23" i="1" s="1"/>
  <c r="I24" i="1"/>
  <c r="E24" i="1" s="1"/>
  <c r="I25" i="1"/>
  <c r="E25" i="1" s="1"/>
  <c r="I26" i="1"/>
  <c r="E26" i="1" s="1"/>
  <c r="I27" i="1"/>
  <c r="E27" i="1" s="1"/>
  <c r="I21" i="1"/>
  <c r="E21" i="1" s="1"/>
  <c r="I2" i="1"/>
  <c r="E2" i="1" s="1"/>
  <c r="I4" i="1"/>
  <c r="E4" i="1" s="1"/>
  <c r="I17" i="1"/>
  <c r="E17" i="1" s="1"/>
  <c r="I18" i="1"/>
  <c r="E18" i="1" s="1"/>
  <c r="I14" i="1"/>
  <c r="E14" i="1" s="1"/>
  <c r="I16" i="1"/>
  <c r="E16" i="1" s="1"/>
  <c r="I20" i="1"/>
  <c r="E20" i="1" s="1"/>
  <c r="I29" i="1"/>
  <c r="E29" i="1" s="1"/>
  <c r="I10" i="1"/>
  <c r="E10" i="1" s="1"/>
  <c r="I12" i="1"/>
  <c r="E12" i="1" s="1"/>
  <c r="I72" i="1"/>
  <c r="E72" i="1" s="1"/>
  <c r="I9" i="1"/>
  <c r="E9" i="1" s="1"/>
  <c r="I8" i="1"/>
  <c r="E8" i="1" s="1"/>
  <c r="I62" i="1"/>
  <c r="E62" i="1" s="1"/>
  <c r="I64" i="1"/>
  <c r="E64" i="1" s="1"/>
  <c r="I66" i="1"/>
  <c r="E66" i="1" s="1"/>
  <c r="I68" i="1"/>
  <c r="E68" i="1" s="1"/>
  <c r="I70" i="1"/>
  <c r="E70" i="1" s="1"/>
  <c r="I60" i="1"/>
  <c r="E60" i="1" s="1"/>
</calcChain>
</file>

<file path=xl/sharedStrings.xml><?xml version="1.0" encoding="utf-8"?>
<sst xmlns="http://schemas.openxmlformats.org/spreadsheetml/2006/main" count="2408" uniqueCount="573">
  <si>
    <t>Product_ID</t>
  </si>
  <si>
    <t>Product_Name</t>
  </si>
  <si>
    <t>Pack_Size_Name</t>
  </si>
  <si>
    <t>UOM_Code</t>
  </si>
  <si>
    <t>UOM_Name</t>
  </si>
  <si>
    <t>Package_Name</t>
  </si>
  <si>
    <t>Line_Name</t>
  </si>
  <si>
    <t>ShortCode</t>
  </si>
  <si>
    <t>Star Kombucha</t>
  </si>
  <si>
    <t>Can</t>
  </si>
  <si>
    <t>CS</t>
  </si>
  <si>
    <t>Case</t>
  </si>
  <si>
    <t>Brand 1(Brand_Name)</t>
  </si>
  <si>
    <t>Brand 2</t>
  </si>
  <si>
    <t>Orginal</t>
  </si>
  <si>
    <t>Flavor</t>
  </si>
  <si>
    <t>Dâu Tây</t>
  </si>
  <si>
    <t>250 ml</t>
  </si>
  <si>
    <t>Lựu Đỏ</t>
  </si>
  <si>
    <t>Ổi Hồng</t>
  </si>
  <si>
    <t>Việt Quất</t>
  </si>
  <si>
    <t>Vải Kiwi</t>
  </si>
  <si>
    <t>Cam Yuzu</t>
  </si>
  <si>
    <t>Xoài Kiwi</t>
  </si>
  <si>
    <t>Dâu</t>
  </si>
  <si>
    <t>Cam Đào</t>
  </si>
  <si>
    <t>Pack_Size_Name_VN</t>
  </si>
  <si>
    <t>Lon</t>
  </si>
  <si>
    <t>UOM_Name_VN</t>
  </si>
  <si>
    <t>Thùng</t>
  </si>
  <si>
    <t>Pack_Size</t>
  </si>
  <si>
    <t>Thể tích</t>
  </si>
  <si>
    <t>Đơn Vị</t>
  </si>
  <si>
    <t>L</t>
  </si>
  <si>
    <t>Mã SKU</t>
  </si>
  <si>
    <t>Mix</t>
  </si>
  <si>
    <t>Crate</t>
  </si>
  <si>
    <t>Chai</t>
  </si>
  <si>
    <t>Bottle (non-PET)</t>
  </si>
  <si>
    <t>CR</t>
  </si>
  <si>
    <t>Két</t>
  </si>
  <si>
    <t>TR</t>
  </si>
  <si>
    <t>Tray</t>
  </si>
  <si>
    <t>Khay</t>
  </si>
  <si>
    <t>Hộp</t>
  </si>
  <si>
    <t>Túi</t>
  </si>
  <si>
    <t>Star Kombucha Orginal</t>
  </si>
  <si>
    <t>Star Kombucha Mix</t>
  </si>
  <si>
    <t>SLN</t>
  </si>
  <si>
    <t>SKO</t>
  </si>
  <si>
    <t>SKM</t>
  </si>
  <si>
    <t>Mã số mã vạch</t>
  </si>
  <si>
    <t xml:space="preserve">Vải Kiwi </t>
  </si>
  <si>
    <t>CurrentName</t>
  </si>
  <si>
    <t>Star Kombucha Cam Đào Thùng 12</t>
  </si>
  <si>
    <t>Star Kombucha Lựu Đỏ Thùng 12</t>
  </si>
  <si>
    <t>Star Kombucha Ổi Hồng Thùng 12</t>
  </si>
  <si>
    <t>Star Kombucha Xoài Kiwi Thùng 12</t>
  </si>
  <si>
    <t>Star Kombucha Dâu Tây  Thùng 12</t>
  </si>
  <si>
    <t>Star Kombucha Vải Kiwi Thùng 12</t>
  </si>
  <si>
    <t>Star Kombucha Thùng 12 lon mix 6 vị</t>
  </si>
  <si>
    <t>Star Kombucha Thùng 12 lon mix 6 vị Tết</t>
  </si>
  <si>
    <t>Star Kombucha Nguyên Bản Thùng 8 Túi 1.5 Lít</t>
  </si>
  <si>
    <t>SK024</t>
  </si>
  <si>
    <t>SK030</t>
  </si>
  <si>
    <t>SK036</t>
  </si>
  <si>
    <t>SK042</t>
  </si>
  <si>
    <t>SK045</t>
  </si>
  <si>
    <t>SK057</t>
  </si>
  <si>
    <t>SKMIX12_006 (1)</t>
  </si>
  <si>
    <t>SKMIX12_006 (2)</t>
  </si>
  <si>
    <t>SK226</t>
  </si>
  <si>
    <t>8936185350475</t>
  </si>
  <si>
    <t>8936185350505</t>
  </si>
  <si>
    <t>8936185350482</t>
  </si>
  <si>
    <t>8936185350499</t>
  </si>
  <si>
    <t>8936185350512</t>
  </si>
  <si>
    <t>8936185351236</t>
  </si>
  <si>
    <t>8936185353629</t>
  </si>
  <si>
    <t>8936185354039</t>
  </si>
  <si>
    <t>8936185353032</t>
  </si>
  <si>
    <t>Chill Cocktail</t>
  </si>
  <si>
    <t>Light</t>
  </si>
  <si>
    <t>Nho</t>
  </si>
  <si>
    <t>Đào</t>
  </si>
  <si>
    <t>Vải &amp; Hoa Hồng</t>
  </si>
  <si>
    <t>Dứa</t>
  </si>
  <si>
    <t>320 ml</t>
  </si>
  <si>
    <t>CK105</t>
  </si>
  <si>
    <t>CK106</t>
  </si>
  <si>
    <t>CK107</t>
  </si>
  <si>
    <t>CK108</t>
  </si>
  <si>
    <t>CK109</t>
  </si>
  <si>
    <t>CK104</t>
  </si>
  <si>
    <t>CKMIX_001</t>
  </si>
  <si>
    <t>CKMIX_002</t>
  </si>
  <si>
    <t>Chill Cocktail Light Dâu Thùng 12 Lon 320ml</t>
  </si>
  <si>
    <t>Chill Cocktail Light Nho Thùng 12 Lon 320ml</t>
  </si>
  <si>
    <t>Chill Cocktail Light Việt Quất Thùng 12 Lon 320ml</t>
  </si>
  <si>
    <t>Chill Cocktail Light Đào Thùng 12 Lon 320ml</t>
  </si>
  <si>
    <t>Chill Cocktail Light Vải Hoa Hồng Thùng 12 Lon 320ml</t>
  </si>
  <si>
    <t>Chill Cocktail Light Dứa Thùng 12 Lon 320ml</t>
  </si>
  <si>
    <t>Chill Cocktail Light Mix 6 Vị Thùng 12 Lon 320ml</t>
  </si>
  <si>
    <t>Chill Cocktail Light Mix 6 Vị Thùng 6 Lon 320ml</t>
  </si>
  <si>
    <t>8936185351526</t>
  </si>
  <si>
    <t>8936185351557</t>
  </si>
  <si>
    <t>8936185351533</t>
  </si>
  <si>
    <t>8936185351502</t>
  </si>
  <si>
    <t>8936185351519</t>
  </si>
  <si>
    <t>8936185354206</t>
  </si>
  <si>
    <t>8936185354220</t>
  </si>
  <si>
    <t>8936185352264</t>
  </si>
  <si>
    <t>Sakura</t>
  </si>
  <si>
    <t>Dưa Hấu Sake</t>
  </si>
  <si>
    <t>Vải Sake</t>
  </si>
  <si>
    <t>8936185351953</t>
  </si>
  <si>
    <t>8936185351960</t>
  </si>
  <si>
    <t>CK083</t>
  </si>
  <si>
    <t>CK084</t>
  </si>
  <si>
    <t>Chill Cocktail Sakura Thùng 12 lon vị Dưa hấu Sake 250ml</t>
  </si>
  <si>
    <t>Chill Cocktail Sakura Thùng 12 lon vị Vải Sake 250ml</t>
  </si>
  <si>
    <t>Domestic/Export</t>
  </si>
  <si>
    <t>Domestic</t>
  </si>
  <si>
    <t>MP014</t>
  </si>
  <si>
    <t>MP016</t>
  </si>
  <si>
    <t>MP018</t>
  </si>
  <si>
    <t>MP020</t>
  </si>
  <si>
    <t>MP022</t>
  </si>
  <si>
    <t>MP024</t>
  </si>
  <si>
    <t>MP025</t>
  </si>
  <si>
    <t>MP080</t>
  </si>
  <si>
    <t>MP081</t>
  </si>
  <si>
    <t>MP082</t>
  </si>
  <si>
    <t>MP083</t>
  </si>
  <si>
    <t>MP084</t>
  </si>
  <si>
    <t>MP085</t>
  </si>
  <si>
    <t>MP086</t>
  </si>
  <si>
    <t>Mamapop Cam Đào thùng 12 lon 330ml</t>
  </si>
  <si>
    <t>Mamapop Bưởi Hồng thùng 12 lon 330ml</t>
  </si>
  <si>
    <t>Mamapop Bia Gừng thùng 12 lon 330ml</t>
  </si>
  <si>
    <t>Mamapop Cam Yuzu thùng 12 lon 330ml</t>
  </si>
  <si>
    <t>Mamapop Ổi Hồng thùng 12 lon 330ml</t>
  </si>
  <si>
    <t>Mamapop Xoài Kiwi thùng 12 lon 330ml</t>
  </si>
  <si>
    <t>Mamapop thùng 12 lon mix 6 vị 330ml</t>
  </si>
  <si>
    <t xml:space="preserve">Mamapop Cam Đào thùng 12 lon 320ml </t>
  </si>
  <si>
    <t xml:space="preserve">Mamapop Bưởi Hồng thùng 12 lon 320ml </t>
  </si>
  <si>
    <t xml:space="preserve">Mamapop Mama Gừng thùng 12 lon 320ml </t>
  </si>
  <si>
    <t xml:space="preserve">Mamapop Cam Yuzu thùng 12 lon 320ml </t>
  </si>
  <si>
    <t xml:space="preserve">Mamapop Ổi Hồng thùng 12 lon 320ml </t>
  </si>
  <si>
    <t xml:space="preserve">Mamapop Xoài Kiwi thùng 12 lon 320ml </t>
  </si>
  <si>
    <t>Mamapop thùng 12 lon mix 6 vị 320ml</t>
  </si>
  <si>
    <t>Mamapop</t>
  </si>
  <si>
    <t>Bưởi Hồng</t>
  </si>
  <si>
    <t>Bia Gừng</t>
  </si>
  <si>
    <t>330 ml</t>
  </si>
  <si>
    <t>Gừng</t>
  </si>
  <si>
    <t>isActive</t>
  </si>
  <si>
    <t>8936185352790</t>
  </si>
  <si>
    <t>8936185352806</t>
  </si>
  <si>
    <t>8936185352813</t>
  </si>
  <si>
    <t>8936185352837</t>
  </si>
  <si>
    <t>8936185352820</t>
  </si>
  <si>
    <t>8936185352844</t>
  </si>
  <si>
    <t>8936185352851</t>
  </si>
  <si>
    <t>8936185354046</t>
  </si>
  <si>
    <t>Cela</t>
  </si>
  <si>
    <t>Cam</t>
  </si>
  <si>
    <t>Chanh</t>
  </si>
  <si>
    <t>Cola</t>
  </si>
  <si>
    <t>Cela Cam Tropical thùng 12 lon 320ml</t>
  </si>
  <si>
    <t>Cela Chanh Lime thùng 12 lon 320ml</t>
  </si>
  <si>
    <t>Cela Classic Cola thùng 12 lon 320ml</t>
  </si>
  <si>
    <t>Cela Nho Berry thùng 12 lon 320ml</t>
  </si>
  <si>
    <t>Cela thùng 12 lon mix 4 vị 320ml</t>
  </si>
  <si>
    <t>8936185352950</t>
  </si>
  <si>
    <t>8936185352936</t>
  </si>
  <si>
    <t>8936185352967</t>
  </si>
  <si>
    <t>8936185353162</t>
  </si>
  <si>
    <t>8936185353179</t>
  </si>
  <si>
    <t>8936185354145</t>
  </si>
  <si>
    <t>8936185354121</t>
  </si>
  <si>
    <t>8936185354213</t>
  </si>
  <si>
    <t>Dưa Hấu</t>
  </si>
  <si>
    <t>Cela Việt Quất Thùng 12 Lon 320ml</t>
  </si>
  <si>
    <t>Cela Dưa Hấu Thùng 12 Lon 320ml</t>
  </si>
  <si>
    <t>Cela Chanh Lime Thùng 12 Lon 320ml</t>
  </si>
  <si>
    <t>Cela Nho Berry Thùng 12 Lon 320ml</t>
  </si>
  <si>
    <t>Cela Mix 4 Vị Thùng 12 Lon 320ml</t>
  </si>
  <si>
    <t>CL005</t>
  </si>
  <si>
    <t>CL006</t>
  </si>
  <si>
    <t>CL007</t>
  </si>
  <si>
    <t>CL008</t>
  </si>
  <si>
    <t>CL009</t>
  </si>
  <si>
    <t>CL039</t>
  </si>
  <si>
    <t>CL040</t>
  </si>
  <si>
    <t>CL043</t>
  </si>
  <si>
    <t>CL044</t>
  </si>
  <si>
    <t>CLMIX_001</t>
  </si>
  <si>
    <t xml:space="preserve">STAR KOMBUCHA CAM ĐÀO </t>
  </si>
  <si>
    <t xml:space="preserve">STAR KOMBUCHA LỰU ĐỎ </t>
  </si>
  <si>
    <t>STAR KOMBUCHA ỔI HỒNG</t>
  </si>
  <si>
    <t xml:space="preserve">STAR KOMBUCHA XOÀI KIWI </t>
  </si>
  <si>
    <t>STAR KOMBUCHA DÂU TÂY</t>
  </si>
  <si>
    <t>STAR KOMBUCHA VẢI KIWI</t>
  </si>
  <si>
    <t>Trà lên men Star Kombucha Nguyên bản</t>
  </si>
  <si>
    <t>Nguyên Bản</t>
  </si>
  <si>
    <t>8936185350130</t>
  </si>
  <si>
    <t>8936185350161</t>
  </si>
  <si>
    <t>8936185350215</t>
  </si>
  <si>
    <t xml:space="preserve">8936185350192
</t>
  </si>
  <si>
    <t>8936185350185</t>
  </si>
  <si>
    <t>8936185351175</t>
  </si>
  <si>
    <t>8936185353025</t>
  </si>
  <si>
    <t>Số TCB</t>
  </si>
  <si>
    <t>101-SL5/GDG/2025</t>
  </si>
  <si>
    <t>102-SL5/GDG/2025</t>
  </si>
  <si>
    <t>103-SL5/GDG/2025</t>
  </si>
  <si>
    <t>105-SL5/GDG/2025</t>
  </si>
  <si>
    <t>106-SL5/GDG/2025</t>
  </si>
  <si>
    <t>104-SL5/GDG/2025</t>
  </si>
  <si>
    <t>109-SL5/GDG/2023</t>
  </si>
  <si>
    <t>Rum Nho</t>
  </si>
  <si>
    <t>Vodka Đào</t>
  </si>
  <si>
    <t>Vodka Vải &amp; Hoa Hồng</t>
  </si>
  <si>
    <t>Vodka Dâu</t>
  </si>
  <si>
    <t>Vodka Việt Quất</t>
  </si>
  <si>
    <t>Vodka Cam</t>
  </si>
  <si>
    <t>Tequila Dứa</t>
  </si>
  <si>
    <t>8936185351366</t>
  </si>
  <si>
    <t>8936185351373</t>
  </si>
  <si>
    <t>8936185351380</t>
  </si>
  <si>
    <t>8936185351397</t>
  </si>
  <si>
    <t>8936185351410</t>
  </si>
  <si>
    <t>8936185352035</t>
  </si>
  <si>
    <t>8936185354190</t>
  </si>
  <si>
    <t>101-CL2/GDG/2023</t>
  </si>
  <si>
    <t>102-CL2/GDG/2023</t>
  </si>
  <si>
    <t>103-CL2/GDG/2023</t>
  </si>
  <si>
    <t>104-CL2/GDG/2023</t>
  </si>
  <si>
    <t>106-CL2/GDG/2023</t>
  </si>
  <si>
    <t>107-CL2/GDG/2023</t>
  </si>
  <si>
    <t>107-CK1/GDG/2026</t>
  </si>
  <si>
    <t>Nước Cocktail Chill Light Vị Vodka Đào</t>
  </si>
  <si>
    <t>Nước Cocktail Chill Light Vị Vodka Vải &amp; Hoa Hồng</t>
  </si>
  <si>
    <t>Nước Cocktail Chill Light Vị Vodka Dâu</t>
  </si>
  <si>
    <t>Nước Cocktail Chill Light Vị Vodka Việt Quất</t>
  </si>
  <si>
    <t>Nước Cocktail Chill Light Vị Rum Nho</t>
  </si>
  <si>
    <t>Nước Cocktail Chill Light Vodka Cam</t>
  </si>
  <si>
    <t>Nước Cocktail Chill Light Vị Tequila Dứa</t>
  </si>
  <si>
    <t>8936185351816</t>
  </si>
  <si>
    <t>101-CL6/GDG/2023</t>
  </si>
  <si>
    <t>8936185351823</t>
  </si>
  <si>
    <t>102-CL6/GDG/2023</t>
  </si>
  <si>
    <t>NƯỚC COCKTAIL CHILL SAKURA VỊ DƯA HẤU SAKE</t>
  </si>
  <si>
    <t>NƯỚC COCKTAIL CHILL SAKURA VỊ VẢI SAKE</t>
  </si>
  <si>
    <t>NƯỚC TRÁI CÂY SPARKLING CAM ĐÀO</t>
  </si>
  <si>
    <t>NƯỚC TRÁI CÂY SPARKLING BƯỞI HỒNG</t>
  </si>
  <si>
    <t>NƯỚC TRÁI CÂY SPARKLING MAMA GỪNG</t>
  </si>
  <si>
    <t>NƯỚC TRÁI CÂY SPARKLING ỔI HỒNG</t>
  </si>
  <si>
    <t>NƯỚC TRÁI CÂY SPARKLING CAM YUZU</t>
  </si>
  <si>
    <t>NƯỚC TRÁI CÂY SPARKLING XOÀI KIWI</t>
  </si>
  <si>
    <t>8936185352721</t>
  </si>
  <si>
    <t>201-ML1/GDG/2025</t>
  </si>
  <si>
    <t xml:space="preserve">8936185352738 </t>
  </si>
  <si>
    <t>202-ML1/GDG/2025</t>
  </si>
  <si>
    <t xml:space="preserve">8936185352752 </t>
  </si>
  <si>
    <t>203-ML1/GDG/2025</t>
  </si>
  <si>
    <t>8936185352769</t>
  </si>
  <si>
    <t>204-ML1/GDG/2025</t>
  </si>
  <si>
    <t>8936185352776</t>
  </si>
  <si>
    <t>205-ML1/GDG/2025</t>
  </si>
  <si>
    <t>8936185352783</t>
  </si>
  <si>
    <t>206-ML1/GDG/2025</t>
  </si>
  <si>
    <t>NƯỚC GIẢI KHÁT THẾ HỆ MỚI CELA VỊ CAM TROPICAL</t>
  </si>
  <si>
    <t>NƯỚC GIẢI KHÁT THẾ HỆ MỚI CELA VỊ CLASSIC COLA</t>
  </si>
  <si>
    <t>NƯỚC GIẢI KHÁT TIỀN LỢI KHUẨN CELA VỊ CHANH LIME</t>
  </si>
  <si>
    <t>NƯỚC GIẢI KHÁT TIỀN LỢI KHUẨN CELA VỊ NHO BERRY</t>
  </si>
  <si>
    <t>NƯỚC GIẢI KHÁT TIỀN LỢI KHUẨN CELA VỊ VIỆT QUẤT</t>
  </si>
  <si>
    <t>NƯỚC GIẢI KHÁT TIỀN LỢI KHUẨN CELA VỊ DƯA HẤU</t>
  </si>
  <si>
    <t>Cam Tropical</t>
  </si>
  <si>
    <t>Classic Cola</t>
  </si>
  <si>
    <t>Chanh Lime</t>
  </si>
  <si>
    <t>Nho Berry</t>
  </si>
  <si>
    <t>8936185353001</t>
  </si>
  <si>
    <t>101-CE1/GDG/2024</t>
  </si>
  <si>
    <t>8936185353049</t>
  </si>
  <si>
    <t>103-CE1/GDG/2024</t>
  </si>
  <si>
    <t>8936185353018</t>
  </si>
  <si>
    <t>102-CL1/GDG/2026</t>
  </si>
  <si>
    <t>8936185353056</t>
  </si>
  <si>
    <t>104-CL1/GDG/2026</t>
  </si>
  <si>
    <t>8936185354138</t>
  </si>
  <si>
    <t>106-CL1/GDG/2026</t>
  </si>
  <si>
    <t>8936185354114</t>
  </si>
  <si>
    <t>105-CL1/GDG/2026</t>
  </si>
  <si>
    <t>CK024</t>
  </si>
  <si>
    <t>Chill Cocktail Light Blueberry &amp; Vodka thùng 24 lon 330 ml</t>
  </si>
  <si>
    <t>CK100</t>
  </si>
  <si>
    <t>Chill Cocktail Light Cam Thùng 24 lon 320ml</t>
  </si>
  <si>
    <t>Chill Cocktail Light Đào Thùng 24 lon 320ml</t>
  </si>
  <si>
    <t>Chill Cocktail Light Dâu Thùng 24 lon 320ml</t>
  </si>
  <si>
    <t>Chill Cocktail Light Grape &amp; Rum thùng 24 lon 330 ml</t>
  </si>
  <si>
    <t>CK098</t>
  </si>
  <si>
    <t>CK095</t>
  </si>
  <si>
    <t>CK023</t>
  </si>
  <si>
    <t>CK102</t>
  </si>
  <si>
    <t>Chill Cocktail Light Lốc 6 lon x 320ml mix 6 vị</t>
  </si>
  <si>
    <t>Lốc</t>
  </si>
  <si>
    <t>Bán lẻ</t>
  </si>
  <si>
    <t>CK096</t>
  </si>
  <si>
    <t>Chill Cocktail Light Nho Thùng 24 lon 320ml</t>
  </si>
  <si>
    <t>CK019</t>
  </si>
  <si>
    <t>Chill Cocktail Light Peach &amp; Vodka thùng 24 lon 330 ml</t>
  </si>
  <si>
    <t>CK020</t>
  </si>
  <si>
    <t>Chill Cocktail Light Rose &amp; Lychee Vodka thùng 24 lon 330 ml</t>
  </si>
  <si>
    <t>CK021</t>
  </si>
  <si>
    <t>Chill Cocktail Light Strawberry &amp; Vodka thùng 24 lon 330 ml</t>
  </si>
  <si>
    <t>CK079</t>
  </si>
  <si>
    <t>Chill Cocktail Light Thùng 24 lon x 330ml vị Cam</t>
  </si>
  <si>
    <t>CKMIX6_003</t>
  </si>
  <si>
    <t>Chill Cocktail Light Thùng 6 lon mix 6 vị</t>
  </si>
  <si>
    <t>CK088</t>
  </si>
  <si>
    <t>Chill Cocktail Light Thùng 6 lon mix 6 vị TẾT (1)</t>
  </si>
  <si>
    <t>CK099</t>
  </si>
  <si>
    <t>Chill Cocktail Light Việt Quất Thùng 24 lon 320ml</t>
  </si>
  <si>
    <t>CK097</t>
  </si>
  <si>
    <t>CK013</t>
  </si>
  <si>
    <t>Chill Cocktail Original Peach &amp; Vodka thùng 24 chai 275 ml</t>
  </si>
  <si>
    <t>275 ml</t>
  </si>
  <si>
    <t>CK048</t>
  </si>
  <si>
    <t>Chill Cocktail Original Thùng 24 chai vị Đào</t>
  </si>
  <si>
    <t>CK053</t>
  </si>
  <si>
    <t>Chill Cocktail Original Thùng 24 chai vị Vải &amp; Hoa hồng</t>
  </si>
  <si>
    <t>CK052</t>
  </si>
  <si>
    <t>Chill Cocktail Original Thùng 24 chai vị Việt Quất</t>
  </si>
  <si>
    <t>CK080</t>
  </si>
  <si>
    <t>Chill Cocktail Original Thùng 6 chai mix 3 vị</t>
  </si>
  <si>
    <t>CK085</t>
  </si>
  <si>
    <t>Chill Cocktail Sakura Hộp 3 lon mix 3 vị 250ml</t>
  </si>
  <si>
    <t>CK062</t>
  </si>
  <si>
    <t>Chill Cocktail Sakura lon vị Dưa hấu Sake 330ml</t>
  </si>
  <si>
    <t>CK063</t>
  </si>
  <si>
    <t>Chill Cocktail Sakura lon vị Vải Sake 330ml</t>
  </si>
  <si>
    <t>CK086</t>
  </si>
  <si>
    <t>Chill Cocktail Sakura Thùng 12 lon vị Cam Yuzu Sake 250ml</t>
  </si>
  <si>
    <t>CK042</t>
  </si>
  <si>
    <t>Chill Cocktail Sakura Thùng 6 lon vị Dưa hấu Sake</t>
  </si>
  <si>
    <t>CK043</t>
  </si>
  <si>
    <t>Chill Cocktail Sakura Thùng 6 lon vị Vải Sake</t>
  </si>
  <si>
    <t>CK037</t>
  </si>
  <si>
    <t>Chill Cocktail Strong Thùng 24 lon vị Bưởi</t>
  </si>
  <si>
    <t>Strong</t>
  </si>
  <si>
    <t>Bưởi</t>
  </si>
  <si>
    <t>CK036</t>
  </si>
  <si>
    <t>Chill Cocktail Strong Thùng 24 lon vị Chanh</t>
  </si>
  <si>
    <t>1CK083</t>
  </si>
  <si>
    <t>1CK084</t>
  </si>
  <si>
    <t>1CK100</t>
  </si>
  <si>
    <t>1CK104</t>
  </si>
  <si>
    <t>1CK105</t>
  </si>
  <si>
    <t>1CK106</t>
  </si>
  <si>
    <t>1CK107</t>
  </si>
  <si>
    <t>Type</t>
  </si>
  <si>
    <t>FG</t>
  </si>
  <si>
    <t>SKMIX12_006_1</t>
  </si>
  <si>
    <t>SKMIX12_006_2</t>
  </si>
  <si>
    <t>1CK108</t>
  </si>
  <si>
    <t>1CK109</t>
  </si>
  <si>
    <t>1CL005</t>
  </si>
  <si>
    <t>1CL006</t>
  </si>
  <si>
    <t>1CL007</t>
  </si>
  <si>
    <t>1CL008</t>
  </si>
  <si>
    <t>1CL039</t>
  </si>
  <si>
    <t>1CL040</t>
  </si>
  <si>
    <t>1MP080</t>
  </si>
  <si>
    <t>1MP081</t>
  </si>
  <si>
    <t>1MP082</t>
  </si>
  <si>
    <t>1MP083</t>
  </si>
  <si>
    <t>1MP084</t>
  </si>
  <si>
    <t>1MP085</t>
  </si>
  <si>
    <t>1SK024</t>
  </si>
  <si>
    <t>1SK030</t>
  </si>
  <si>
    <t>1SK036</t>
  </si>
  <si>
    <t>1SK042</t>
  </si>
  <si>
    <t>1SK045</t>
  </si>
  <si>
    <t>1SK057</t>
  </si>
  <si>
    <t>1SK226</t>
  </si>
  <si>
    <t>Chill Cocktail Sakura Dưa Hấu Sake Thùng 12 Lon 250</t>
  </si>
  <si>
    <t>Chill Cocktail Sakura Dưa Hấu Sake Lon 250</t>
  </si>
  <si>
    <t>Chill Cocktail Sakura Vải Sake Thùng 12 Lon 250</t>
  </si>
  <si>
    <t>Chill Cocktail Sakura Vải Sake Lon 250</t>
  </si>
  <si>
    <t>Chill Cocktail Light Vodka Cam Lon 320</t>
  </si>
  <si>
    <t>Chill Cocktail Light Cam Thùng 24 Lon 320</t>
  </si>
  <si>
    <t>Star Kombucha Mix Thùng 12 Lon 250</t>
  </si>
  <si>
    <t>Chill Cocktail Light Dứa Thùng 12 Lon 320</t>
  </si>
  <si>
    <t>Chill Cocktail Light Tequila Dứa Lon 320</t>
  </si>
  <si>
    <t>Chill Cocktail Light Dâu Thùng 12 Lon 320</t>
  </si>
  <si>
    <t>Chill Cocktail Light Vodka Dâu Lon 320</t>
  </si>
  <si>
    <t>Chill Cocktail Light Nho Thùng 12 Lon 320</t>
  </si>
  <si>
    <t>Chill Cocktail Light Rum Nho Lon 320</t>
  </si>
  <si>
    <t>Chill Cocktail Light Việt Quất Thùng 12 Lon 320</t>
  </si>
  <si>
    <t>Chill Cocktail Mix Thùng 12 Lon 320</t>
  </si>
  <si>
    <t>Chill Cocktail Light Vodka Việt Quất Lon 320</t>
  </si>
  <si>
    <t>Chill Cocktail Light Đào Thùng 12 Lon 320</t>
  </si>
  <si>
    <t>Mamapop Orginal Cam Đào Thùng 12 Lon 330</t>
  </si>
  <si>
    <t>Mamapop Orginal Bưởi Hồng Thùng 12 Lon 330</t>
  </si>
  <si>
    <t>Mamapop Orginal Bia Gừng Thùng 12 Lon 330</t>
  </si>
  <si>
    <t>Mamapop Orginal Cam Yuzu Thùng 12 Lon 330</t>
  </si>
  <si>
    <t>Mamapop Orginal Ổi Hồng Thùng 12 Lon 330</t>
  </si>
  <si>
    <t>Mamapop Orginal Xoài Kiwi Thùng 12 Lon 330</t>
  </si>
  <si>
    <t>Mamapop Mix Thùng 12 Lon 330</t>
  </si>
  <si>
    <t>Chill Cocktail Light Vodka Đào Lon 320</t>
  </si>
  <si>
    <t>Chill Cocktail Light Vải &amp; Hoa Hồng Thùng 12 Lon 320</t>
  </si>
  <si>
    <t>Chill Cocktail Light Vodka Vải &amp; Hoa Hồng Lon 320</t>
  </si>
  <si>
    <t>Cela Orginal Cam Thùng 12 Lon 320</t>
  </si>
  <si>
    <t>Cela Orginal Cam Tropical Lon 320</t>
  </si>
  <si>
    <t>Cela Orginal Chanh Thùng 12 Lon 320</t>
  </si>
  <si>
    <t>Mamapop Mix Thùng 12 Lon 320</t>
  </si>
  <si>
    <t>Cela Orginal Chanh Lime Lon 320</t>
  </si>
  <si>
    <t>Cela Orginal Cola Thùng 12 Lon 320</t>
  </si>
  <si>
    <t>Cela Orginal Classic Cola Lon 320</t>
  </si>
  <si>
    <t>Cela Orginal Nho Thùng 12 Lon 320</t>
  </si>
  <si>
    <t>Cela Mix Thùng 12 Lon 320</t>
  </si>
  <si>
    <t>Cela Orginal Nho Berry Lon 320</t>
  </si>
  <si>
    <t>Cela Orginal Việt Quất Thùng 12 Lon 320</t>
  </si>
  <si>
    <t>Cela Orginal Việt Quất Lon 320</t>
  </si>
  <si>
    <t>Cela Orginal Dưa Hấu Thùng 12 Lon 320</t>
  </si>
  <si>
    <t>Cela Orginal Dưa Hấu Lon 320</t>
  </si>
  <si>
    <t>Mamapop Orginal Cam Đào Thùng 12 Lon 320</t>
  </si>
  <si>
    <t>Mamapop Orginal Cam Đào Lon 320</t>
  </si>
  <si>
    <t>Mamapop Orginal Bưởi Hồng Thùng 12 Lon 320</t>
  </si>
  <si>
    <t>Mamapop Orginal Bưởi Hồng Lon 320</t>
  </si>
  <si>
    <t>Mamapop Orginal Gừng Thùng 12 Lon 320</t>
  </si>
  <si>
    <t>Mamapop Orginal Gừng Lon 320</t>
  </si>
  <si>
    <t>Mamapop Orginal Cam Yuzu Thùng 12 Lon 320</t>
  </si>
  <si>
    <t>Mamapop Orginal Cam Yuzu Lon 320</t>
  </si>
  <si>
    <t>Mamapop Orginal Ổi Hồng Thùng 12 Lon 320</t>
  </si>
  <si>
    <t>Mamapop Orginal Ổi Hồng Lon 320</t>
  </si>
  <si>
    <t>Mamapop Orginal Xoài Kiwi Thùng 12 Lon 320</t>
  </si>
  <si>
    <t>Mamapop Orginal Xoài Kiwi Lon 320</t>
  </si>
  <si>
    <t>Star Kombucha Orginal Cam Đào Thùng 12 Lon 250</t>
  </si>
  <si>
    <t>Star Kombucha Orginal Cam Đào Lon 250</t>
  </si>
  <si>
    <t>Star Kombucha Orginal Lựu Đỏ Thùng 12 Lon 250</t>
  </si>
  <si>
    <t>Star Kombucha Orginal Lựu Đỏ Lon 250</t>
  </si>
  <si>
    <t>Star Kombucha Orginal Ổi Hồng Thùng 12 Lon 250</t>
  </si>
  <si>
    <t>Star Kombucha Orginal Ổi Hồng Lon 250</t>
  </si>
  <si>
    <t>Star Kombucha Orginal Xoài Kiwi Thùng 12 Lon 250</t>
  </si>
  <si>
    <t>Star Kombucha Orginal Xoài Kiwi Lon 250</t>
  </si>
  <si>
    <t>Star Kombucha Orginal Dâu Tây Thùng 12 Lon 250</t>
  </si>
  <si>
    <t>Star Kombucha Orginal Dâu Tây Lon 250</t>
  </si>
  <si>
    <t>Star Kombucha Orginal Vải Kiwi  Thùng 12 Lon 250</t>
  </si>
  <si>
    <t>Star Kombucha Orginal Vải Kiwi Lon 250</t>
  </si>
  <si>
    <t>Star Kombucha Orginal Nguyên Bản Thùng 8 Túi 1.5</t>
  </si>
  <si>
    <t>Chill Cocktail Light Việt Quất Thùng 24 Lon 330</t>
  </si>
  <si>
    <t>Star Kombucha Orginal Nguyên Bản Túi 1.5</t>
  </si>
  <si>
    <t>Chill Cocktail Light Đào Thùng 24 Lon 320</t>
  </si>
  <si>
    <t>Chill Cocktail Light Dâu Thùng 24 Lon 320</t>
  </si>
  <si>
    <t>Chill Cocktail Light Nho Thùng 24 Lon 330</t>
  </si>
  <si>
    <t>Chill Cocktail Mix Lốc 6 Lon 320</t>
  </si>
  <si>
    <t>Chill Cocktail Light Nho Thùng 24 Lon 320</t>
  </si>
  <si>
    <t>Chill Cocktail Light Đào Thùng 24 Lon 330</t>
  </si>
  <si>
    <t>Chill Cocktail Light Vải &amp; Hoa Hồng Thùng 24 Lon 330</t>
  </si>
  <si>
    <t>Chill Cocktail Light Dâu Thùng 24 Lon 330</t>
  </si>
  <si>
    <t>Chill Cocktail Light Cam Thùng 24 Lon 330</t>
  </si>
  <si>
    <t>Chill Cocktail Mix Thùng 6 Lon 330</t>
  </si>
  <si>
    <t>Chill Cocktail Light Vải &amp; Hoa Hồng Thùng 24 Lon 320</t>
  </si>
  <si>
    <t>Chill Cocktail Light Việt Quất Thùng 24 Lon 320</t>
  </si>
  <si>
    <t>Chill Cocktail Orginal Vodka Đào Thùng 24 Chai 275</t>
  </si>
  <si>
    <t>Chill Cocktail Orginal Đào Thùng 24 Chai 275</t>
  </si>
  <si>
    <t>Chill Cocktail Orginal Vải &amp; Hoa Hồng Thùng 24 Chai 275</t>
  </si>
  <si>
    <t>Chill Cocktail Orginal Việt Quất Thùng 24 Chai 275</t>
  </si>
  <si>
    <t>Chill Cocktail Mix Hộp 6 Chai 275</t>
  </si>
  <si>
    <t>Chill Cocktail Mix Hộp 3 Lon 250</t>
  </si>
  <si>
    <t>Chill Cocktail Sakura Dưa Hấu Lon 330</t>
  </si>
  <si>
    <t>Chill Cocktail Sakura Vải Sake Lon 330</t>
  </si>
  <si>
    <t>Chill Cocktail Sakura Cam Yuzu Thùng 12 Lon 250</t>
  </si>
  <si>
    <t>Chill Cocktail Sakura Dưa Hấu Thùng 6 Lon 330</t>
  </si>
  <si>
    <t>Chill Cocktail Sakura Vải Sake Thùng 6 Lon 330</t>
  </si>
  <si>
    <t>Chill Cocktail Strong Bưởi Thùng 24 Lon 330</t>
  </si>
  <si>
    <t>Chill Cocktail Strong Chanh Thùng 24 Lon 330</t>
  </si>
  <si>
    <t>RelatedName_1</t>
  </si>
  <si>
    <t>RelatedName_2</t>
  </si>
  <si>
    <t>RelatedName_3</t>
  </si>
  <si>
    <t>RelatedName_4</t>
  </si>
  <si>
    <t>RelatedName_5</t>
  </si>
  <si>
    <t>Chill Cocktail Sakura</t>
  </si>
  <si>
    <t>Chill Cocktail Light</t>
  </si>
  <si>
    <t>Chill Cocktail Mix</t>
  </si>
  <si>
    <t>Mamapop Orginal</t>
  </si>
  <si>
    <t>Mamapop Mix</t>
  </si>
  <si>
    <t>Cela Orginal</t>
  </si>
  <si>
    <t>Cela Mix</t>
  </si>
  <si>
    <t>Chill Cocktail Orginal</t>
  </si>
  <si>
    <t>Chill Cocktail Strong</t>
  </si>
  <si>
    <t>Thực phẩm bổ sung Kombucha Cam Đào (12x250ml)</t>
  </si>
  <si>
    <t>Thực phẩm bổ sung Kombucha Xoài Kiwi (12x250ml)</t>
  </si>
  <si>
    <t>Thực phẩm bổ sung Kombucha Dâu Tây (12x250ml)</t>
  </si>
  <si>
    <t>Thực phẩm bổ sung Kombucha Lựu Đỏ (12x250ml)</t>
  </si>
  <si>
    <t>Thực phẩm bổ sung Kombucha Ổi Hồng (12x250ml)</t>
  </si>
  <si>
    <t>Thực phẩm bổ sung Kombucha Vải Kiwi  (12x250ml)</t>
  </si>
  <si>
    <t>Artiso Đỏ</t>
  </si>
  <si>
    <t>Chanh Dây</t>
  </si>
  <si>
    <t>Mơ</t>
  </si>
  <si>
    <t>Thực phẩm bổ sung Kombucha Atiso đỏ (12x250ml)</t>
  </si>
  <si>
    <t>Thực phẩm bổ sung Kombucha Việt Quất  (12x250ml)</t>
  </si>
  <si>
    <t>Thực phẩm bổ sung Kombucha Chanh Dây  (12x250ml)</t>
  </si>
  <si>
    <t>Thực phẩm bổ sung Kombucha Mơ (12x250ml)</t>
  </si>
  <si>
    <t>Thực phẩm bổ sung Kombucha Cam Yuzu (12x250ml)</t>
  </si>
  <si>
    <t>Star Kombucha Orginal Artiso Đỏ Lon 250</t>
  </si>
  <si>
    <t>Star Kombucha Orginal Việt Quất Lon 250</t>
  </si>
  <si>
    <t>Star Kombucha Orginal Chanh Dây Lon 250</t>
  </si>
  <si>
    <t>Star Kombucha Orginal Mơ Lon 250</t>
  </si>
  <si>
    <t>Star Kombucha Orginal Cam Yuzu Lon 250</t>
  </si>
  <si>
    <t>ProductID</t>
  </si>
  <si>
    <t>SK039</t>
  </si>
  <si>
    <t>Star Kombucha Chanh Dây Thùng 12</t>
  </si>
  <si>
    <t>SK027</t>
  </si>
  <si>
    <t>1SK027</t>
  </si>
  <si>
    <t>1SK039</t>
  </si>
  <si>
    <t>Star Kombucha Việt Quất Thùng 12</t>
  </si>
  <si>
    <t>SK023</t>
  </si>
  <si>
    <t>Star Kombucha Cam Đào Khay 30</t>
  </si>
  <si>
    <t>SK026</t>
  </si>
  <si>
    <t>Star Kombucha Việt Quất Khay 30</t>
  </si>
  <si>
    <t>SK029</t>
  </si>
  <si>
    <t>Star Kombucha Lựu Đỏ Khay 30</t>
  </si>
  <si>
    <t>SK035</t>
  </si>
  <si>
    <t>Star Kombucha Ổi Hồng Khay 30</t>
  </si>
  <si>
    <t>SK038</t>
  </si>
  <si>
    <t>Star Kombucha Chanh Dây Khay 30</t>
  </si>
  <si>
    <t>Star Kombucha Xoài Kiwi Khay 30</t>
  </si>
  <si>
    <t>SK041</t>
  </si>
  <si>
    <t>SK044</t>
  </si>
  <si>
    <t>Star Kombucha Dâu Tây Khay 30</t>
  </si>
  <si>
    <t>SK053</t>
  </si>
  <si>
    <t>Star Kombucha Nguyên Bản Thùng 12</t>
  </si>
  <si>
    <t>SK054</t>
  </si>
  <si>
    <t>Star Kombucha Nguyên Bản Khay 30</t>
  </si>
  <si>
    <t>Chill Cocktail Light Mix 6 Vị  Thùng 6 Lon 320ml</t>
  </si>
  <si>
    <t>Mamapop Cam Đào thùng 12 lon 320ml</t>
  </si>
  <si>
    <t>Mamapop Bưởi Hồng thùng 12 lon 320ml</t>
  </si>
  <si>
    <t>Mamapop Mama Gừng thùng 12 lon 320ml</t>
  </si>
  <si>
    <t>Mamapop Cam Yuzu thùng 12 lon 320ml</t>
  </si>
  <si>
    <t>Mamapop Ổi Hồng thùng 12 lon 320ml</t>
  </si>
  <si>
    <t>Mamapop Xoài Kiwi thùng 12 lon 320ml</t>
  </si>
  <si>
    <t>Star Kombucha Dâu Tây Thùng 12</t>
  </si>
  <si>
    <t>Chill Cocktail Light Vải Hoa Hồng Thùng 24 lon 320ml</t>
  </si>
  <si>
    <t>Star Kombucha Atiso Đỏ Thùng 12</t>
  </si>
  <si>
    <t>SK061</t>
  </si>
  <si>
    <t>1SK061</t>
  </si>
  <si>
    <t>Star Kombucha Cam Yuzu Thùng 12</t>
  </si>
  <si>
    <t>SK124</t>
  </si>
  <si>
    <t>1SK124</t>
  </si>
  <si>
    <t>Star Kombucha Mơ Thùng 12</t>
  </si>
  <si>
    <t>SK067</t>
  </si>
  <si>
    <t>1SK067</t>
  </si>
  <si>
    <t>SKMIX12_006</t>
  </si>
  <si>
    <t>Star Kombucha Thùng 12 lon mix 12 vị</t>
  </si>
  <si>
    <t>SK125</t>
  </si>
  <si>
    <t>Star Kombucha Cam Yuzu Khay 30</t>
  </si>
  <si>
    <t>SK062</t>
  </si>
  <si>
    <t>Star Kombucha Atiso Đỏ Khay 30</t>
  </si>
  <si>
    <t>CK101</t>
  </si>
  <si>
    <t>Chill Cocktail Light Thùng 12 lon x 320ml mix 6 vị</t>
  </si>
  <si>
    <t>MP031</t>
  </si>
  <si>
    <t>MP030</t>
  </si>
  <si>
    <t>MP032</t>
  </si>
  <si>
    <t>Mamapop Cam Đào thùng 4 lon 330ml</t>
  </si>
  <si>
    <t>Mamapop Bia Gừng thùng 4 lon 330ml</t>
  </si>
  <si>
    <t>Mamapop Bưởi Hồng thùng 4 lon 330ml</t>
  </si>
  <si>
    <t>1CK079</t>
  </si>
  <si>
    <t>1.5 L</t>
  </si>
  <si>
    <t>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</si>
</sst>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1A1095-FA88-47FF-BB40-EFBCE9E4E1FF}" name="PackSize" displayName="PackSize" ref="A1:B4" totalsRowShown="0">
  <autoFilter ref="A1:B4" xr:uid="{D5ADAE83-1569-45FB-9CB2-A3ED10A6DC5A}"/>
  <tableColumns count="2">
    <tableColumn id="1" xr3:uid="{32C60582-5C97-4B4F-9EA7-82888E228F43}" name="Pack_Size_Name"/>
    <tableColumn id="2" xr3:uid="{5526D7A8-59C2-4A13-8382-AE19C9D126C2}" name="Pack_Size_Name_V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EB49D7E-F85F-40E8-B9D5-220B9904E377}" name="UOM" displayName="UOM" ref="D1:F6" totalsRowShown="0">
  <autoFilter ref="D1:F6" xr:uid="{7C4AB834-4D95-42B0-9D4E-5199C68F1ADD}"/>
  <tableColumns count="3">
    <tableColumn id="1" xr3:uid="{0BA3A4EC-09D9-4BDB-A071-87C96A0B745D}" name="UOM_Code"/>
    <tableColumn id="2" xr3:uid="{45329DA4-48EA-49AF-A633-89FF70DB7E19}" name="UOM_Name"/>
    <tableColumn id="3" xr3:uid="{43542B17-BABC-4620-83D8-F785AEB1B4EA}" name="UOM_Name_V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7F370-E3E9-48FE-9358-5FDFF70F3EF6}">
  <dimension ref="A1:U127"/>
  <sheetViews>
    <sheetView tabSelected="1" topLeftCell="G1" zoomScaleNormal="100" workbookViewId="0">
      <pane ySplit="1" topLeftCell="A2" activePane="bottomLeft" state="frozen"/>
      <selection pane="bottomLeft" activeCell="P3" sqref="P3"/>
    </sheetView>
  </sheetViews>
  <sheetFormatPr defaultRowHeight="14.5" x14ac:dyDescent="0.35"/>
  <cols>
    <col min="1" max="2" width="14.81640625" bestFit="1" customWidth="1"/>
    <col min="3" max="3" width="8.1796875" bestFit="1" customWidth="1"/>
    <col min="4" max="4" width="9.453125" bestFit="1" customWidth="1"/>
    <col min="5" max="5" width="45.08984375" bestFit="1" customWidth="1"/>
    <col min="6" max="6" width="49.26953125" bestFit="1" customWidth="1"/>
    <col min="7" max="7" width="21.90625" bestFit="1" customWidth="1"/>
    <col min="8" max="8" width="9.54296875" bestFit="1" customWidth="1"/>
    <col min="9" max="9" width="20" bestFit="1" customWidth="1"/>
    <col min="10" max="10" width="19.6328125" bestFit="1" customWidth="1"/>
    <col min="11" max="11" width="9.7265625" bestFit="1" customWidth="1"/>
    <col min="12" max="12" width="8.81640625" bestFit="1" customWidth="1"/>
    <col min="13" max="13" width="15.90625" bestFit="1" customWidth="1"/>
    <col min="14" max="14" width="11.1796875" bestFit="1" customWidth="1"/>
    <col min="15" max="15" width="20.7265625" bestFit="1" customWidth="1"/>
    <col min="16" max="16" width="16.90625" bestFit="1" customWidth="1"/>
    <col min="17" max="17" width="15.90625" bestFit="1" customWidth="1"/>
    <col min="18" max="18" width="17.6328125" bestFit="1" customWidth="1"/>
    <col min="19" max="19" width="11.90625" bestFit="1" customWidth="1"/>
    <col min="20" max="20" width="17.36328125" bestFit="1" customWidth="1"/>
    <col min="21" max="21" width="17.36328125" customWidth="1"/>
  </cols>
  <sheetData>
    <row r="1" spans="1:21" x14ac:dyDescent="0.35">
      <c r="A1" s="1" t="s">
        <v>513</v>
      </c>
      <c r="B1" s="1" t="s">
        <v>34</v>
      </c>
      <c r="C1" s="1" t="s">
        <v>308</v>
      </c>
      <c r="D1" s="1" t="s">
        <v>156</v>
      </c>
      <c r="E1" s="1" t="s">
        <v>1</v>
      </c>
      <c r="F1" s="1" t="s">
        <v>53</v>
      </c>
      <c r="G1" s="1" t="s">
        <v>12</v>
      </c>
      <c r="H1" s="1" t="s">
        <v>13</v>
      </c>
      <c r="I1" s="1" t="s">
        <v>6</v>
      </c>
      <c r="J1" s="1" t="s">
        <v>15</v>
      </c>
      <c r="K1" s="1" t="s">
        <v>31</v>
      </c>
      <c r="L1" s="1" t="s">
        <v>32</v>
      </c>
      <c r="M1" s="1" t="s">
        <v>5</v>
      </c>
      <c r="N1" s="1" t="s">
        <v>30</v>
      </c>
      <c r="O1" s="1" t="s">
        <v>26</v>
      </c>
      <c r="P1" s="1" t="s">
        <v>28</v>
      </c>
      <c r="Q1" s="1" t="s">
        <v>51</v>
      </c>
      <c r="R1" s="1" t="s">
        <v>213</v>
      </c>
      <c r="S1" s="1" t="s">
        <v>7</v>
      </c>
      <c r="T1" s="1" t="s">
        <v>121</v>
      </c>
      <c r="U1" s="1" t="s">
        <v>362</v>
      </c>
    </row>
    <row r="2" spans="1:21" x14ac:dyDescent="0.35">
      <c r="A2" t="s">
        <v>117</v>
      </c>
      <c r="B2" t="s">
        <v>117</v>
      </c>
      <c r="C2">
        <v>0</v>
      </c>
      <c r="D2">
        <v>1</v>
      </c>
      <c r="E2" t="str">
        <f t="shared" ref="E2:E33" si="0">_xlfn.CONCAT(I2,IF(J2="",""," "&amp;J2),IF(P2="",""," "&amp;P2&amp;" "&amp;N2)," "&amp;O2," "&amp;K2)</f>
        <v>Chill Cocktail Sakura Dưa Hấu Sake Thùng 12 Lon 250</v>
      </c>
      <c r="F2" t="s">
        <v>119</v>
      </c>
      <c r="G2" t="s">
        <v>81</v>
      </c>
      <c r="H2" t="s">
        <v>112</v>
      </c>
      <c r="I2" t="str">
        <f t="shared" ref="I2:I33" si="1">G2&amp;" "&amp;H2</f>
        <v>Chill Cocktail Sakura</v>
      </c>
      <c r="J2" t="s">
        <v>113</v>
      </c>
      <c r="K2">
        <v>250</v>
      </c>
      <c r="L2" t="s">
        <v>572</v>
      </c>
      <c r="M2" t="s">
        <v>17</v>
      </c>
      <c r="N2">
        <v>12</v>
      </c>
      <c r="O2" t="s">
        <v>27</v>
      </c>
      <c r="P2" t="s">
        <v>29</v>
      </c>
      <c r="Q2" t="s">
        <v>115</v>
      </c>
      <c r="T2" t="s">
        <v>122</v>
      </c>
      <c r="U2" t="s">
        <v>363</v>
      </c>
    </row>
    <row r="3" spans="1:21" x14ac:dyDescent="0.35">
      <c r="A3" t="s">
        <v>355</v>
      </c>
      <c r="B3" t="s">
        <v>117</v>
      </c>
      <c r="C3">
        <v>1</v>
      </c>
      <c r="D3">
        <v>1</v>
      </c>
      <c r="E3" t="str">
        <f t="shared" si="0"/>
        <v>Chill Cocktail Sakura Dưa Hấu Sake Lon 250</v>
      </c>
      <c r="F3" t="s">
        <v>253</v>
      </c>
      <c r="G3" t="s">
        <v>81</v>
      </c>
      <c r="H3" t="s">
        <v>112</v>
      </c>
      <c r="I3" t="str">
        <f t="shared" si="1"/>
        <v>Chill Cocktail Sakura</v>
      </c>
      <c r="J3" t="s">
        <v>113</v>
      </c>
      <c r="K3">
        <v>250</v>
      </c>
      <c r="L3" t="s">
        <v>572</v>
      </c>
      <c r="M3" t="s">
        <v>17</v>
      </c>
      <c r="N3">
        <v>1</v>
      </c>
      <c r="O3" t="s">
        <v>27</v>
      </c>
      <c r="Q3" t="s">
        <v>249</v>
      </c>
      <c r="R3" t="s">
        <v>250</v>
      </c>
      <c r="T3" t="s">
        <v>122</v>
      </c>
      <c r="U3" t="s">
        <v>363</v>
      </c>
    </row>
    <row r="4" spans="1:21" x14ac:dyDescent="0.35">
      <c r="A4" t="s">
        <v>118</v>
      </c>
      <c r="B4" t="s">
        <v>118</v>
      </c>
      <c r="C4">
        <v>0</v>
      </c>
      <c r="D4">
        <v>1</v>
      </c>
      <c r="E4" t="str">
        <f t="shared" si="0"/>
        <v>Chill Cocktail Sakura Vải Sake Thùng 12 Lon 250</v>
      </c>
      <c r="F4" t="s">
        <v>120</v>
      </c>
      <c r="G4" t="s">
        <v>81</v>
      </c>
      <c r="H4" t="s">
        <v>112</v>
      </c>
      <c r="I4" t="str">
        <f t="shared" si="1"/>
        <v>Chill Cocktail Sakura</v>
      </c>
      <c r="J4" t="s">
        <v>114</v>
      </c>
      <c r="K4">
        <v>250</v>
      </c>
      <c r="L4" t="s">
        <v>572</v>
      </c>
      <c r="M4" t="s">
        <v>17</v>
      </c>
      <c r="N4">
        <v>12</v>
      </c>
      <c r="O4" t="s">
        <v>27</v>
      </c>
      <c r="P4" t="s">
        <v>29</v>
      </c>
      <c r="Q4" t="s">
        <v>116</v>
      </c>
      <c r="T4" t="s">
        <v>122</v>
      </c>
      <c r="U4" t="s">
        <v>363</v>
      </c>
    </row>
    <row r="5" spans="1:21" x14ac:dyDescent="0.35">
      <c r="A5" t="s">
        <v>356</v>
      </c>
      <c r="B5" t="s">
        <v>118</v>
      </c>
      <c r="C5">
        <v>1</v>
      </c>
      <c r="D5">
        <v>1</v>
      </c>
      <c r="E5" t="str">
        <f t="shared" si="0"/>
        <v>Chill Cocktail Sakura Vải Sake Lon 250</v>
      </c>
      <c r="F5" t="s">
        <v>254</v>
      </c>
      <c r="G5" t="s">
        <v>81</v>
      </c>
      <c r="H5" t="s">
        <v>112</v>
      </c>
      <c r="I5" t="str">
        <f t="shared" si="1"/>
        <v>Chill Cocktail Sakura</v>
      </c>
      <c r="J5" t="s">
        <v>114</v>
      </c>
      <c r="K5">
        <v>250</v>
      </c>
      <c r="L5" t="s">
        <v>572</v>
      </c>
      <c r="M5" t="s">
        <v>17</v>
      </c>
      <c r="N5">
        <v>1</v>
      </c>
      <c r="O5" t="s">
        <v>27</v>
      </c>
      <c r="Q5" t="s">
        <v>251</v>
      </c>
      <c r="R5" t="s">
        <v>252</v>
      </c>
      <c r="T5" t="s">
        <v>122</v>
      </c>
      <c r="U5" t="s">
        <v>363</v>
      </c>
    </row>
    <row r="6" spans="1:21" x14ac:dyDescent="0.35">
      <c r="A6" t="s">
        <v>357</v>
      </c>
      <c r="B6" t="s">
        <v>297</v>
      </c>
      <c r="C6">
        <v>1</v>
      </c>
      <c r="D6">
        <v>1</v>
      </c>
      <c r="E6" t="str">
        <f t="shared" si="0"/>
        <v>Chill Cocktail Light Vodka Cam Lon 320</v>
      </c>
      <c r="F6" t="s">
        <v>247</v>
      </c>
      <c r="G6" t="s">
        <v>81</v>
      </c>
      <c r="H6" t="s">
        <v>82</v>
      </c>
      <c r="I6" t="str">
        <f t="shared" si="1"/>
        <v>Chill Cocktail Light</v>
      </c>
      <c r="J6" t="s">
        <v>226</v>
      </c>
      <c r="K6">
        <v>320</v>
      </c>
      <c r="L6" t="s">
        <v>572</v>
      </c>
      <c r="M6" t="s">
        <v>87</v>
      </c>
      <c r="N6">
        <v>1</v>
      </c>
      <c r="O6" t="s">
        <v>27</v>
      </c>
      <c r="Q6" t="s">
        <v>233</v>
      </c>
      <c r="R6" t="s">
        <v>240</v>
      </c>
      <c r="T6" t="s">
        <v>122</v>
      </c>
      <c r="U6" t="s">
        <v>363</v>
      </c>
    </row>
    <row r="7" spans="1:21" x14ac:dyDescent="0.35">
      <c r="A7" t="s">
        <v>297</v>
      </c>
      <c r="B7" t="s">
        <v>297</v>
      </c>
      <c r="C7">
        <v>0</v>
      </c>
      <c r="D7">
        <v>1</v>
      </c>
      <c r="E7" t="str">
        <f t="shared" si="0"/>
        <v>Chill Cocktail Light Cam Thùng 24 Lon 320</v>
      </c>
      <c r="F7" t="s">
        <v>298</v>
      </c>
      <c r="G7" t="s">
        <v>81</v>
      </c>
      <c r="H7" t="s">
        <v>82</v>
      </c>
      <c r="I7" t="str">
        <f t="shared" si="1"/>
        <v>Chill Cocktail Light</v>
      </c>
      <c r="J7" t="s">
        <v>166</v>
      </c>
      <c r="K7">
        <v>320</v>
      </c>
      <c r="L7" t="s">
        <v>572</v>
      </c>
      <c r="M7" t="s">
        <v>87</v>
      </c>
      <c r="N7">
        <v>24</v>
      </c>
      <c r="O7" t="s">
        <v>27</v>
      </c>
      <c r="P7" t="s">
        <v>29</v>
      </c>
      <c r="T7" t="s">
        <v>122</v>
      </c>
      <c r="U7" t="s">
        <v>363</v>
      </c>
    </row>
    <row r="8" spans="1:21" x14ac:dyDescent="0.35">
      <c r="A8" t="s">
        <v>364</v>
      </c>
      <c r="B8" t="s">
        <v>69</v>
      </c>
      <c r="C8">
        <v>0</v>
      </c>
      <c r="D8">
        <v>1</v>
      </c>
      <c r="E8" t="str">
        <f t="shared" si="0"/>
        <v>Star Kombucha Mix Thùng 12 Lon 250</v>
      </c>
      <c r="F8" t="s">
        <v>60</v>
      </c>
      <c r="G8" t="s">
        <v>8</v>
      </c>
      <c r="H8" t="s">
        <v>35</v>
      </c>
      <c r="I8" t="str">
        <f t="shared" si="1"/>
        <v>Star Kombucha Mix</v>
      </c>
      <c r="K8">
        <v>250</v>
      </c>
      <c r="L8" t="s">
        <v>572</v>
      </c>
      <c r="M8" t="s">
        <v>17</v>
      </c>
      <c r="N8">
        <v>12</v>
      </c>
      <c r="O8" t="s">
        <v>27</v>
      </c>
      <c r="P8" t="s">
        <v>29</v>
      </c>
      <c r="Q8" t="s">
        <v>78</v>
      </c>
      <c r="T8" t="s">
        <v>122</v>
      </c>
      <c r="U8" t="s">
        <v>363</v>
      </c>
    </row>
    <row r="9" spans="1:21" x14ac:dyDescent="0.35">
      <c r="A9" t="s">
        <v>365</v>
      </c>
      <c r="B9" t="s">
        <v>70</v>
      </c>
      <c r="C9">
        <v>0</v>
      </c>
      <c r="D9">
        <v>1</v>
      </c>
      <c r="E9" t="str">
        <f t="shared" si="0"/>
        <v>Star Kombucha Mix Thùng 12 Lon 250</v>
      </c>
      <c r="F9" t="s">
        <v>61</v>
      </c>
      <c r="G9" t="s">
        <v>8</v>
      </c>
      <c r="H9" t="s">
        <v>35</v>
      </c>
      <c r="I9" t="str">
        <f t="shared" si="1"/>
        <v>Star Kombucha Mix</v>
      </c>
      <c r="K9">
        <v>250</v>
      </c>
      <c r="L9" t="s">
        <v>572</v>
      </c>
      <c r="M9" t="s">
        <v>17</v>
      </c>
      <c r="N9">
        <v>12</v>
      </c>
      <c r="O9" t="s">
        <v>27</v>
      </c>
      <c r="P9" t="s">
        <v>29</v>
      </c>
      <c r="Q9" t="s">
        <v>79</v>
      </c>
      <c r="T9" t="s">
        <v>122</v>
      </c>
      <c r="U9" t="s">
        <v>363</v>
      </c>
    </row>
    <row r="10" spans="1:21" x14ac:dyDescent="0.35">
      <c r="A10" t="s">
        <v>93</v>
      </c>
      <c r="B10" t="s">
        <v>93</v>
      </c>
      <c r="C10">
        <v>0</v>
      </c>
      <c r="D10">
        <v>1</v>
      </c>
      <c r="E10" t="str">
        <f t="shared" si="0"/>
        <v>Chill Cocktail Light Dứa Thùng 12 Lon 320</v>
      </c>
      <c r="F10" t="s">
        <v>101</v>
      </c>
      <c r="G10" t="s">
        <v>81</v>
      </c>
      <c r="H10" t="s">
        <v>82</v>
      </c>
      <c r="I10" t="str">
        <f t="shared" si="1"/>
        <v>Chill Cocktail Light</v>
      </c>
      <c r="J10" t="s">
        <v>86</v>
      </c>
      <c r="K10">
        <v>320</v>
      </c>
      <c r="L10" t="s">
        <v>572</v>
      </c>
      <c r="M10" t="s">
        <v>87</v>
      </c>
      <c r="N10">
        <v>12</v>
      </c>
      <c r="O10" t="s">
        <v>27</v>
      </c>
      <c r="P10" t="s">
        <v>29</v>
      </c>
      <c r="Q10" t="s">
        <v>109</v>
      </c>
      <c r="T10" t="s">
        <v>122</v>
      </c>
      <c r="U10" t="s">
        <v>363</v>
      </c>
    </row>
    <row r="11" spans="1:21" x14ac:dyDescent="0.35">
      <c r="A11" t="s">
        <v>358</v>
      </c>
      <c r="B11" t="s">
        <v>93</v>
      </c>
      <c r="C11">
        <v>1</v>
      </c>
      <c r="D11">
        <v>1</v>
      </c>
      <c r="E11" t="str">
        <f t="shared" si="0"/>
        <v>Chill Cocktail Light Tequila Dứa Lon 320</v>
      </c>
      <c r="F11" t="s">
        <v>248</v>
      </c>
      <c r="G11" t="s">
        <v>81</v>
      </c>
      <c r="H11" t="s">
        <v>82</v>
      </c>
      <c r="I11" t="str">
        <f t="shared" si="1"/>
        <v>Chill Cocktail Light</v>
      </c>
      <c r="J11" t="s">
        <v>227</v>
      </c>
      <c r="K11">
        <v>320</v>
      </c>
      <c r="L11" t="s">
        <v>572</v>
      </c>
      <c r="M11" t="s">
        <v>87</v>
      </c>
      <c r="N11">
        <v>1</v>
      </c>
      <c r="O11" t="s">
        <v>27</v>
      </c>
      <c r="Q11" t="s">
        <v>234</v>
      </c>
      <c r="R11" t="s">
        <v>241</v>
      </c>
      <c r="T11" t="s">
        <v>122</v>
      </c>
      <c r="U11" t="s">
        <v>363</v>
      </c>
    </row>
    <row r="12" spans="1:21" x14ac:dyDescent="0.35">
      <c r="A12" t="s">
        <v>88</v>
      </c>
      <c r="B12" t="s">
        <v>88</v>
      </c>
      <c r="C12">
        <v>0</v>
      </c>
      <c r="D12">
        <v>1</v>
      </c>
      <c r="E12" t="str">
        <f t="shared" si="0"/>
        <v>Chill Cocktail Light Dâu Thùng 12 Lon 320</v>
      </c>
      <c r="F12" t="s">
        <v>96</v>
      </c>
      <c r="G12" t="s">
        <v>81</v>
      </c>
      <c r="H12" t="s">
        <v>82</v>
      </c>
      <c r="I12" t="str">
        <f t="shared" si="1"/>
        <v>Chill Cocktail Light</v>
      </c>
      <c r="J12" t="s">
        <v>24</v>
      </c>
      <c r="K12">
        <v>320</v>
      </c>
      <c r="L12" t="s">
        <v>572</v>
      </c>
      <c r="M12" t="s">
        <v>87</v>
      </c>
      <c r="N12">
        <v>12</v>
      </c>
      <c r="O12" t="s">
        <v>27</v>
      </c>
      <c r="P12" t="s">
        <v>29</v>
      </c>
      <c r="Q12" t="s">
        <v>104</v>
      </c>
      <c r="T12" t="s">
        <v>122</v>
      </c>
      <c r="U12" t="s">
        <v>363</v>
      </c>
    </row>
    <row r="13" spans="1:21" x14ac:dyDescent="0.35">
      <c r="A13" t="s">
        <v>359</v>
      </c>
      <c r="B13" t="s">
        <v>88</v>
      </c>
      <c r="C13">
        <v>1</v>
      </c>
      <c r="D13">
        <v>1</v>
      </c>
      <c r="E13" t="str">
        <f t="shared" si="0"/>
        <v>Chill Cocktail Light Vodka Dâu Lon 320</v>
      </c>
      <c r="F13" t="s">
        <v>244</v>
      </c>
      <c r="G13" t="s">
        <v>81</v>
      </c>
      <c r="H13" t="s">
        <v>82</v>
      </c>
      <c r="I13" t="str">
        <f t="shared" si="1"/>
        <v>Chill Cocktail Light</v>
      </c>
      <c r="J13" t="s">
        <v>224</v>
      </c>
      <c r="K13">
        <v>320</v>
      </c>
      <c r="L13" t="s">
        <v>572</v>
      </c>
      <c r="M13" t="s">
        <v>87</v>
      </c>
      <c r="N13">
        <v>1</v>
      </c>
      <c r="O13" t="s">
        <v>27</v>
      </c>
      <c r="Q13" t="s">
        <v>230</v>
      </c>
      <c r="R13" t="s">
        <v>237</v>
      </c>
      <c r="T13" t="s">
        <v>122</v>
      </c>
      <c r="U13" t="s">
        <v>363</v>
      </c>
    </row>
    <row r="14" spans="1:21" x14ac:dyDescent="0.35">
      <c r="A14" t="s">
        <v>89</v>
      </c>
      <c r="B14" t="s">
        <v>89</v>
      </c>
      <c r="C14">
        <v>0</v>
      </c>
      <c r="D14">
        <v>1</v>
      </c>
      <c r="E14" t="str">
        <f t="shared" si="0"/>
        <v>Chill Cocktail Light Nho Thùng 12 Lon 320</v>
      </c>
      <c r="F14" t="s">
        <v>97</v>
      </c>
      <c r="G14" t="s">
        <v>81</v>
      </c>
      <c r="H14" t="s">
        <v>82</v>
      </c>
      <c r="I14" t="str">
        <f t="shared" si="1"/>
        <v>Chill Cocktail Light</v>
      </c>
      <c r="J14" t="s">
        <v>83</v>
      </c>
      <c r="K14">
        <v>320</v>
      </c>
      <c r="L14" t="s">
        <v>572</v>
      </c>
      <c r="M14" t="s">
        <v>87</v>
      </c>
      <c r="N14">
        <v>12</v>
      </c>
      <c r="O14" t="s">
        <v>27</v>
      </c>
      <c r="P14" t="s">
        <v>29</v>
      </c>
      <c r="Q14" t="s">
        <v>105</v>
      </c>
      <c r="T14" t="s">
        <v>122</v>
      </c>
      <c r="U14" t="s">
        <v>363</v>
      </c>
    </row>
    <row r="15" spans="1:21" x14ac:dyDescent="0.35">
      <c r="A15" t="s">
        <v>360</v>
      </c>
      <c r="B15" t="s">
        <v>89</v>
      </c>
      <c r="C15">
        <v>1</v>
      </c>
      <c r="D15">
        <v>1</v>
      </c>
      <c r="E15" t="str">
        <f t="shared" si="0"/>
        <v>Chill Cocktail Light Rum Nho Lon 320</v>
      </c>
      <c r="F15" t="s">
        <v>246</v>
      </c>
      <c r="G15" t="s">
        <v>81</v>
      </c>
      <c r="H15" t="s">
        <v>82</v>
      </c>
      <c r="I15" t="str">
        <f t="shared" si="1"/>
        <v>Chill Cocktail Light</v>
      </c>
      <c r="J15" t="s">
        <v>221</v>
      </c>
      <c r="K15">
        <v>320</v>
      </c>
      <c r="L15" t="s">
        <v>572</v>
      </c>
      <c r="M15" t="s">
        <v>87</v>
      </c>
      <c r="N15">
        <v>1</v>
      </c>
      <c r="O15" t="s">
        <v>27</v>
      </c>
      <c r="Q15" t="s">
        <v>232</v>
      </c>
      <c r="R15" t="s">
        <v>239</v>
      </c>
      <c r="T15" t="s">
        <v>122</v>
      </c>
      <c r="U15" t="s">
        <v>363</v>
      </c>
    </row>
    <row r="16" spans="1:21" x14ac:dyDescent="0.35">
      <c r="A16" t="s">
        <v>90</v>
      </c>
      <c r="B16" t="s">
        <v>90</v>
      </c>
      <c r="C16">
        <v>0</v>
      </c>
      <c r="D16">
        <v>1</v>
      </c>
      <c r="E16" t="str">
        <f t="shared" si="0"/>
        <v>Chill Cocktail Light Việt Quất Thùng 12 Lon 320</v>
      </c>
      <c r="F16" t="s">
        <v>98</v>
      </c>
      <c r="G16" t="s">
        <v>81</v>
      </c>
      <c r="H16" t="s">
        <v>82</v>
      </c>
      <c r="I16" t="str">
        <f t="shared" si="1"/>
        <v>Chill Cocktail Light</v>
      </c>
      <c r="J16" t="s">
        <v>20</v>
      </c>
      <c r="K16">
        <v>320</v>
      </c>
      <c r="L16" t="s">
        <v>572</v>
      </c>
      <c r="M16" t="s">
        <v>87</v>
      </c>
      <c r="N16">
        <v>12</v>
      </c>
      <c r="O16" t="s">
        <v>27</v>
      </c>
      <c r="P16" t="s">
        <v>29</v>
      </c>
      <c r="Q16" t="s">
        <v>106</v>
      </c>
      <c r="T16" t="s">
        <v>122</v>
      </c>
      <c r="U16" t="s">
        <v>363</v>
      </c>
    </row>
    <row r="17" spans="1:21" x14ac:dyDescent="0.35">
      <c r="A17" t="s">
        <v>94</v>
      </c>
      <c r="B17" t="s">
        <v>94</v>
      </c>
      <c r="C17">
        <v>0</v>
      </c>
      <c r="D17">
        <v>1</v>
      </c>
      <c r="E17" t="str">
        <f t="shared" si="0"/>
        <v>Chill Cocktail Mix Thùng 12 Lon 320</v>
      </c>
      <c r="F17" t="s">
        <v>102</v>
      </c>
      <c r="G17" t="s">
        <v>81</v>
      </c>
      <c r="H17" t="s">
        <v>35</v>
      </c>
      <c r="I17" t="str">
        <f t="shared" si="1"/>
        <v>Chill Cocktail Mix</v>
      </c>
      <c r="K17">
        <v>320</v>
      </c>
      <c r="L17" t="s">
        <v>572</v>
      </c>
      <c r="M17" t="s">
        <v>87</v>
      </c>
      <c r="N17">
        <v>12</v>
      </c>
      <c r="O17" t="s">
        <v>27</v>
      </c>
      <c r="P17" t="s">
        <v>29</v>
      </c>
      <c r="Q17" t="s">
        <v>110</v>
      </c>
      <c r="T17" t="s">
        <v>122</v>
      </c>
      <c r="U17" t="s">
        <v>363</v>
      </c>
    </row>
    <row r="18" spans="1:21" x14ac:dyDescent="0.35">
      <c r="A18" t="s">
        <v>95</v>
      </c>
      <c r="B18" t="s">
        <v>95</v>
      </c>
      <c r="C18">
        <v>0</v>
      </c>
      <c r="D18">
        <v>1</v>
      </c>
      <c r="E18" t="str">
        <f t="shared" si="0"/>
        <v>Chill Cocktail Mix Thùng 12 Lon 320</v>
      </c>
      <c r="F18" t="s">
        <v>538</v>
      </c>
      <c r="G18" t="s">
        <v>81</v>
      </c>
      <c r="H18" t="s">
        <v>35</v>
      </c>
      <c r="I18" t="str">
        <f t="shared" si="1"/>
        <v>Chill Cocktail Mix</v>
      </c>
      <c r="K18">
        <v>320</v>
      </c>
      <c r="L18" t="s">
        <v>572</v>
      </c>
      <c r="M18" t="s">
        <v>87</v>
      </c>
      <c r="N18">
        <v>12</v>
      </c>
      <c r="O18" t="s">
        <v>27</v>
      </c>
      <c r="P18" t="s">
        <v>29</v>
      </c>
      <c r="Q18" t="s">
        <v>111</v>
      </c>
      <c r="T18" t="s">
        <v>122</v>
      </c>
      <c r="U18" t="s">
        <v>363</v>
      </c>
    </row>
    <row r="19" spans="1:21" x14ac:dyDescent="0.35">
      <c r="A19" t="s">
        <v>361</v>
      </c>
      <c r="B19" t="s">
        <v>90</v>
      </c>
      <c r="C19">
        <v>1</v>
      </c>
      <c r="D19">
        <v>1</v>
      </c>
      <c r="E19" t="str">
        <f t="shared" si="0"/>
        <v>Chill Cocktail Light Vodka Việt Quất Lon 320</v>
      </c>
      <c r="F19" t="s">
        <v>245</v>
      </c>
      <c r="G19" t="s">
        <v>81</v>
      </c>
      <c r="H19" t="s">
        <v>82</v>
      </c>
      <c r="I19" t="str">
        <f t="shared" si="1"/>
        <v>Chill Cocktail Light</v>
      </c>
      <c r="J19" t="s">
        <v>225</v>
      </c>
      <c r="K19">
        <v>320</v>
      </c>
      <c r="L19" t="s">
        <v>572</v>
      </c>
      <c r="M19" t="s">
        <v>87</v>
      </c>
      <c r="N19">
        <v>1</v>
      </c>
      <c r="O19" t="s">
        <v>27</v>
      </c>
      <c r="Q19" t="s">
        <v>231</v>
      </c>
      <c r="R19" t="s">
        <v>238</v>
      </c>
      <c r="T19" t="s">
        <v>122</v>
      </c>
      <c r="U19" t="s">
        <v>363</v>
      </c>
    </row>
    <row r="20" spans="1:21" x14ac:dyDescent="0.35">
      <c r="A20" t="s">
        <v>91</v>
      </c>
      <c r="B20" t="s">
        <v>91</v>
      </c>
      <c r="C20">
        <v>0</v>
      </c>
      <c r="D20">
        <v>1</v>
      </c>
      <c r="E20" t="str">
        <f t="shared" si="0"/>
        <v>Chill Cocktail Light Đào Thùng 12 Lon 320</v>
      </c>
      <c r="F20" t="s">
        <v>99</v>
      </c>
      <c r="G20" t="s">
        <v>81</v>
      </c>
      <c r="H20" t="s">
        <v>82</v>
      </c>
      <c r="I20" t="str">
        <f t="shared" si="1"/>
        <v>Chill Cocktail Light</v>
      </c>
      <c r="J20" t="s">
        <v>84</v>
      </c>
      <c r="K20">
        <v>320</v>
      </c>
      <c r="L20" t="s">
        <v>572</v>
      </c>
      <c r="M20" t="s">
        <v>87</v>
      </c>
      <c r="N20">
        <v>12</v>
      </c>
      <c r="O20" t="s">
        <v>27</v>
      </c>
      <c r="P20" t="s">
        <v>29</v>
      </c>
      <c r="Q20" t="s">
        <v>107</v>
      </c>
      <c r="T20" t="s">
        <v>122</v>
      </c>
      <c r="U20" t="s">
        <v>363</v>
      </c>
    </row>
    <row r="21" spans="1:21" x14ac:dyDescent="0.35">
      <c r="A21" t="s">
        <v>123</v>
      </c>
      <c r="B21" t="s">
        <v>123</v>
      </c>
      <c r="C21">
        <v>0</v>
      </c>
      <c r="D21">
        <v>1</v>
      </c>
      <c r="E21" t="str">
        <f t="shared" si="0"/>
        <v>Mamapop Orginal Cam Đào Thùng 12 Lon 330</v>
      </c>
      <c r="F21" t="s">
        <v>137</v>
      </c>
      <c r="G21" t="s">
        <v>151</v>
      </c>
      <c r="H21" t="s">
        <v>14</v>
      </c>
      <c r="I21" t="str">
        <f t="shared" si="1"/>
        <v>Mamapop Orginal</v>
      </c>
      <c r="J21" t="s">
        <v>25</v>
      </c>
      <c r="K21">
        <v>330</v>
      </c>
      <c r="L21" t="s">
        <v>572</v>
      </c>
      <c r="M21" t="s">
        <v>154</v>
      </c>
      <c r="N21">
        <v>12</v>
      </c>
      <c r="O21" t="s">
        <v>27</v>
      </c>
      <c r="P21" t="s">
        <v>29</v>
      </c>
      <c r="Q21" t="s">
        <v>157</v>
      </c>
      <c r="T21" t="s">
        <v>122</v>
      </c>
      <c r="U21" t="s">
        <v>363</v>
      </c>
    </row>
    <row r="22" spans="1:21" x14ac:dyDescent="0.35">
      <c r="A22" t="s">
        <v>124</v>
      </c>
      <c r="B22" t="s">
        <v>124</v>
      </c>
      <c r="C22">
        <v>0</v>
      </c>
      <c r="D22">
        <v>1</v>
      </c>
      <c r="E22" t="str">
        <f t="shared" si="0"/>
        <v>Mamapop Orginal Bưởi Hồng Thùng 12 Lon 330</v>
      </c>
      <c r="F22" t="s">
        <v>138</v>
      </c>
      <c r="G22" t="s">
        <v>151</v>
      </c>
      <c r="H22" t="s">
        <v>14</v>
      </c>
      <c r="I22" t="str">
        <f t="shared" si="1"/>
        <v>Mamapop Orginal</v>
      </c>
      <c r="J22" t="s">
        <v>152</v>
      </c>
      <c r="K22">
        <v>330</v>
      </c>
      <c r="L22" t="s">
        <v>572</v>
      </c>
      <c r="M22" t="s">
        <v>154</v>
      </c>
      <c r="N22">
        <v>12</v>
      </c>
      <c r="O22" t="s">
        <v>27</v>
      </c>
      <c r="P22" t="s">
        <v>29</v>
      </c>
      <c r="Q22" t="s">
        <v>158</v>
      </c>
      <c r="T22" t="s">
        <v>122</v>
      </c>
      <c r="U22" t="s">
        <v>363</v>
      </c>
    </row>
    <row r="23" spans="1:21" x14ac:dyDescent="0.35">
      <c r="A23" t="s">
        <v>125</v>
      </c>
      <c r="B23" t="s">
        <v>125</v>
      </c>
      <c r="C23">
        <v>0</v>
      </c>
      <c r="D23">
        <v>1</v>
      </c>
      <c r="E23" t="str">
        <f t="shared" si="0"/>
        <v>Mamapop Orginal Bia Gừng Thùng 12 Lon 330</v>
      </c>
      <c r="F23" t="s">
        <v>139</v>
      </c>
      <c r="G23" t="s">
        <v>151</v>
      </c>
      <c r="H23" t="s">
        <v>14</v>
      </c>
      <c r="I23" t="str">
        <f t="shared" si="1"/>
        <v>Mamapop Orginal</v>
      </c>
      <c r="J23" t="s">
        <v>153</v>
      </c>
      <c r="K23">
        <v>330</v>
      </c>
      <c r="L23" t="s">
        <v>572</v>
      </c>
      <c r="M23" t="s">
        <v>154</v>
      </c>
      <c r="N23">
        <v>12</v>
      </c>
      <c r="O23" t="s">
        <v>27</v>
      </c>
      <c r="P23" t="s">
        <v>29</v>
      </c>
      <c r="Q23" t="s">
        <v>159</v>
      </c>
      <c r="T23" t="s">
        <v>122</v>
      </c>
      <c r="U23" t="s">
        <v>363</v>
      </c>
    </row>
    <row r="24" spans="1:21" x14ac:dyDescent="0.35">
      <c r="A24" t="s">
        <v>126</v>
      </c>
      <c r="B24" t="s">
        <v>126</v>
      </c>
      <c r="C24">
        <v>0</v>
      </c>
      <c r="D24">
        <v>1</v>
      </c>
      <c r="E24" t="str">
        <f t="shared" si="0"/>
        <v>Mamapop Orginal Cam Yuzu Thùng 12 Lon 330</v>
      </c>
      <c r="F24" t="s">
        <v>140</v>
      </c>
      <c r="G24" t="s">
        <v>151</v>
      </c>
      <c r="H24" t="s">
        <v>14</v>
      </c>
      <c r="I24" t="str">
        <f t="shared" si="1"/>
        <v>Mamapop Orginal</v>
      </c>
      <c r="J24" t="s">
        <v>22</v>
      </c>
      <c r="K24">
        <v>330</v>
      </c>
      <c r="L24" t="s">
        <v>572</v>
      </c>
      <c r="M24" t="s">
        <v>154</v>
      </c>
      <c r="N24">
        <v>12</v>
      </c>
      <c r="O24" t="s">
        <v>27</v>
      </c>
      <c r="P24" t="s">
        <v>29</v>
      </c>
      <c r="Q24" t="s">
        <v>160</v>
      </c>
      <c r="T24" t="s">
        <v>122</v>
      </c>
      <c r="U24" t="s">
        <v>363</v>
      </c>
    </row>
    <row r="25" spans="1:21" x14ac:dyDescent="0.35">
      <c r="A25" t="s">
        <v>127</v>
      </c>
      <c r="B25" t="s">
        <v>127</v>
      </c>
      <c r="C25">
        <v>0</v>
      </c>
      <c r="D25">
        <v>1</v>
      </c>
      <c r="E25" t="str">
        <f t="shared" si="0"/>
        <v>Mamapop Orginal Ổi Hồng Thùng 12 Lon 330</v>
      </c>
      <c r="F25" t="s">
        <v>141</v>
      </c>
      <c r="G25" t="s">
        <v>151</v>
      </c>
      <c r="H25" t="s">
        <v>14</v>
      </c>
      <c r="I25" t="str">
        <f t="shared" si="1"/>
        <v>Mamapop Orginal</v>
      </c>
      <c r="J25" t="s">
        <v>19</v>
      </c>
      <c r="K25">
        <v>330</v>
      </c>
      <c r="L25" t="s">
        <v>572</v>
      </c>
      <c r="M25" t="s">
        <v>154</v>
      </c>
      <c r="N25">
        <v>12</v>
      </c>
      <c r="O25" t="s">
        <v>27</v>
      </c>
      <c r="P25" t="s">
        <v>29</v>
      </c>
      <c r="Q25" t="s">
        <v>161</v>
      </c>
      <c r="T25" t="s">
        <v>122</v>
      </c>
      <c r="U25" t="s">
        <v>363</v>
      </c>
    </row>
    <row r="26" spans="1:21" x14ac:dyDescent="0.35">
      <c r="A26" t="s">
        <v>128</v>
      </c>
      <c r="B26" t="s">
        <v>128</v>
      </c>
      <c r="C26">
        <v>0</v>
      </c>
      <c r="D26">
        <v>1</v>
      </c>
      <c r="E26" t="str">
        <f t="shared" si="0"/>
        <v>Mamapop Orginal Xoài Kiwi Thùng 12 Lon 330</v>
      </c>
      <c r="F26" t="s">
        <v>142</v>
      </c>
      <c r="G26" t="s">
        <v>151</v>
      </c>
      <c r="H26" t="s">
        <v>14</v>
      </c>
      <c r="I26" t="str">
        <f t="shared" si="1"/>
        <v>Mamapop Orginal</v>
      </c>
      <c r="J26" t="s">
        <v>23</v>
      </c>
      <c r="K26">
        <v>330</v>
      </c>
      <c r="L26" t="s">
        <v>572</v>
      </c>
      <c r="M26" t="s">
        <v>154</v>
      </c>
      <c r="N26">
        <v>12</v>
      </c>
      <c r="O26" t="s">
        <v>27</v>
      </c>
      <c r="P26" t="s">
        <v>29</v>
      </c>
      <c r="Q26" t="s">
        <v>162</v>
      </c>
      <c r="T26" t="s">
        <v>122</v>
      </c>
      <c r="U26" t="s">
        <v>363</v>
      </c>
    </row>
    <row r="27" spans="1:21" x14ac:dyDescent="0.35">
      <c r="A27" t="s">
        <v>129</v>
      </c>
      <c r="B27" t="s">
        <v>129</v>
      </c>
      <c r="C27">
        <v>0</v>
      </c>
      <c r="D27">
        <v>1</v>
      </c>
      <c r="E27" t="str">
        <f t="shared" si="0"/>
        <v>Mamapop Mix Thùng 12 Lon 330</v>
      </c>
      <c r="F27" t="s">
        <v>143</v>
      </c>
      <c r="G27" t="s">
        <v>151</v>
      </c>
      <c r="H27" t="s">
        <v>35</v>
      </c>
      <c r="I27" t="str">
        <f t="shared" si="1"/>
        <v>Mamapop Mix</v>
      </c>
      <c r="K27">
        <v>330</v>
      </c>
      <c r="L27" t="s">
        <v>572</v>
      </c>
      <c r="M27" t="s">
        <v>154</v>
      </c>
      <c r="N27">
        <v>12</v>
      </c>
      <c r="O27" t="s">
        <v>27</v>
      </c>
      <c r="P27" t="s">
        <v>29</v>
      </c>
      <c r="Q27" t="s">
        <v>163</v>
      </c>
      <c r="T27" t="s">
        <v>122</v>
      </c>
      <c r="U27" t="s">
        <v>363</v>
      </c>
    </row>
    <row r="28" spans="1:21" x14ac:dyDescent="0.35">
      <c r="A28" t="str">
        <f>1&amp;B28</f>
        <v>1CK108</v>
      </c>
      <c r="B28" t="s">
        <v>91</v>
      </c>
      <c r="C28">
        <v>1</v>
      </c>
      <c r="D28">
        <v>1</v>
      </c>
      <c r="E28" t="str">
        <f t="shared" si="0"/>
        <v>Chill Cocktail Light Vodka Đào Lon 320</v>
      </c>
      <c r="F28" t="s">
        <v>242</v>
      </c>
      <c r="G28" t="s">
        <v>81</v>
      </c>
      <c r="H28" t="s">
        <v>82</v>
      </c>
      <c r="I28" t="str">
        <f t="shared" si="1"/>
        <v>Chill Cocktail Light</v>
      </c>
      <c r="J28" t="s">
        <v>222</v>
      </c>
      <c r="K28">
        <v>320</v>
      </c>
      <c r="L28" t="s">
        <v>572</v>
      </c>
      <c r="M28" t="s">
        <v>87</v>
      </c>
      <c r="N28">
        <v>1</v>
      </c>
      <c r="O28" t="s">
        <v>27</v>
      </c>
      <c r="Q28" t="s">
        <v>228</v>
      </c>
      <c r="R28" t="s">
        <v>235</v>
      </c>
      <c r="T28" t="s">
        <v>122</v>
      </c>
      <c r="U28" t="s">
        <v>363</v>
      </c>
    </row>
    <row r="29" spans="1:21" x14ac:dyDescent="0.35">
      <c r="A29" t="s">
        <v>92</v>
      </c>
      <c r="B29" t="s">
        <v>92</v>
      </c>
      <c r="C29">
        <v>0</v>
      </c>
      <c r="D29">
        <v>1</v>
      </c>
      <c r="E29" t="str">
        <f t="shared" si="0"/>
        <v>Chill Cocktail Light Vải &amp; Hoa Hồng Thùng 12 Lon 320</v>
      </c>
      <c r="F29" t="s">
        <v>100</v>
      </c>
      <c r="G29" t="s">
        <v>81</v>
      </c>
      <c r="H29" t="s">
        <v>82</v>
      </c>
      <c r="I29" t="str">
        <f t="shared" si="1"/>
        <v>Chill Cocktail Light</v>
      </c>
      <c r="J29" t="s">
        <v>85</v>
      </c>
      <c r="K29">
        <v>320</v>
      </c>
      <c r="L29" t="s">
        <v>572</v>
      </c>
      <c r="M29" t="s">
        <v>87</v>
      </c>
      <c r="N29">
        <v>12</v>
      </c>
      <c r="O29" t="s">
        <v>27</v>
      </c>
      <c r="P29" t="s">
        <v>29</v>
      </c>
      <c r="Q29" t="s">
        <v>108</v>
      </c>
      <c r="T29" t="s">
        <v>122</v>
      </c>
      <c r="U29" t="s">
        <v>363</v>
      </c>
    </row>
    <row r="30" spans="1:21" x14ac:dyDescent="0.35">
      <c r="A30" t="str">
        <f>1&amp;B30</f>
        <v>1CK109</v>
      </c>
      <c r="B30" t="s">
        <v>92</v>
      </c>
      <c r="C30">
        <v>1</v>
      </c>
      <c r="D30">
        <v>1</v>
      </c>
      <c r="E30" t="str">
        <f t="shared" si="0"/>
        <v>Chill Cocktail Light Vodka Vải &amp; Hoa Hồng Lon 320</v>
      </c>
      <c r="F30" t="s">
        <v>243</v>
      </c>
      <c r="G30" t="s">
        <v>81</v>
      </c>
      <c r="H30" t="s">
        <v>82</v>
      </c>
      <c r="I30" t="str">
        <f t="shared" si="1"/>
        <v>Chill Cocktail Light</v>
      </c>
      <c r="J30" t="s">
        <v>223</v>
      </c>
      <c r="K30">
        <v>320</v>
      </c>
      <c r="L30" t="s">
        <v>572</v>
      </c>
      <c r="M30" t="s">
        <v>87</v>
      </c>
      <c r="N30">
        <v>1</v>
      </c>
      <c r="O30" t="s">
        <v>27</v>
      </c>
      <c r="Q30" t="s">
        <v>229</v>
      </c>
      <c r="R30" t="s">
        <v>236</v>
      </c>
      <c r="T30" t="s">
        <v>122</v>
      </c>
      <c r="U30" t="s">
        <v>363</v>
      </c>
    </row>
    <row r="31" spans="1:21" x14ac:dyDescent="0.35">
      <c r="A31" t="s">
        <v>188</v>
      </c>
      <c r="B31" t="s">
        <v>188</v>
      </c>
      <c r="C31">
        <v>0</v>
      </c>
      <c r="D31">
        <v>1</v>
      </c>
      <c r="E31" t="str">
        <f t="shared" si="0"/>
        <v>Cela Orginal Cam Thùng 12 Lon 320</v>
      </c>
      <c r="F31" t="s">
        <v>169</v>
      </c>
      <c r="G31" t="s">
        <v>165</v>
      </c>
      <c r="H31" t="s">
        <v>14</v>
      </c>
      <c r="I31" t="str">
        <f t="shared" si="1"/>
        <v>Cela Orginal</v>
      </c>
      <c r="J31" t="s">
        <v>166</v>
      </c>
      <c r="K31">
        <v>320</v>
      </c>
      <c r="L31" t="s">
        <v>572</v>
      </c>
      <c r="M31" t="s">
        <v>87</v>
      </c>
      <c r="N31">
        <v>12</v>
      </c>
      <c r="O31" t="s">
        <v>27</v>
      </c>
      <c r="P31" t="s">
        <v>29</v>
      </c>
      <c r="Q31" t="s">
        <v>174</v>
      </c>
      <c r="T31" t="s">
        <v>122</v>
      </c>
      <c r="U31" t="s">
        <v>363</v>
      </c>
    </row>
    <row r="32" spans="1:21" x14ac:dyDescent="0.35">
      <c r="A32" t="str">
        <f>1&amp;B32</f>
        <v>1CL005</v>
      </c>
      <c r="B32" t="s">
        <v>188</v>
      </c>
      <c r="C32">
        <v>1</v>
      </c>
      <c r="D32">
        <v>1</v>
      </c>
      <c r="E32" t="str">
        <f t="shared" si="0"/>
        <v>Cela Orginal Cam Tropical Lon 320</v>
      </c>
      <c r="F32" t="s">
        <v>273</v>
      </c>
      <c r="G32" t="s">
        <v>165</v>
      </c>
      <c r="H32" t="s">
        <v>14</v>
      </c>
      <c r="I32" t="str">
        <f t="shared" si="1"/>
        <v>Cela Orginal</v>
      </c>
      <c r="J32" t="s">
        <v>279</v>
      </c>
      <c r="K32">
        <v>320</v>
      </c>
      <c r="L32" t="s">
        <v>572</v>
      </c>
      <c r="M32" t="s">
        <v>87</v>
      </c>
      <c r="N32">
        <v>1</v>
      </c>
      <c r="O32" t="s">
        <v>27</v>
      </c>
      <c r="Q32" t="s">
        <v>283</v>
      </c>
      <c r="R32" t="s">
        <v>284</v>
      </c>
      <c r="T32" t="s">
        <v>122</v>
      </c>
      <c r="U32" t="s">
        <v>363</v>
      </c>
    </row>
    <row r="33" spans="1:21" x14ac:dyDescent="0.35">
      <c r="A33" t="s">
        <v>189</v>
      </c>
      <c r="B33" t="s">
        <v>189</v>
      </c>
      <c r="C33">
        <v>0</v>
      </c>
      <c r="D33">
        <v>1</v>
      </c>
      <c r="E33" t="str">
        <f t="shared" si="0"/>
        <v>Cela Orginal Chanh Thùng 12 Lon 320</v>
      </c>
      <c r="F33" t="s">
        <v>170</v>
      </c>
      <c r="G33" t="s">
        <v>165</v>
      </c>
      <c r="H33" t="s">
        <v>14</v>
      </c>
      <c r="I33" t="str">
        <f t="shared" si="1"/>
        <v>Cela Orginal</v>
      </c>
      <c r="J33" t="s">
        <v>167</v>
      </c>
      <c r="K33">
        <v>320</v>
      </c>
      <c r="L33" t="s">
        <v>572</v>
      </c>
      <c r="M33" t="s">
        <v>87</v>
      </c>
      <c r="N33">
        <v>12</v>
      </c>
      <c r="O33" t="s">
        <v>27</v>
      </c>
      <c r="P33" t="s">
        <v>29</v>
      </c>
      <c r="Q33" t="s">
        <v>175</v>
      </c>
      <c r="T33" t="s">
        <v>122</v>
      </c>
      <c r="U33" t="s">
        <v>363</v>
      </c>
    </row>
    <row r="34" spans="1:21" x14ac:dyDescent="0.35">
      <c r="A34" t="s">
        <v>136</v>
      </c>
      <c r="B34" t="s">
        <v>136</v>
      </c>
      <c r="C34">
        <v>0</v>
      </c>
      <c r="D34">
        <v>1</v>
      </c>
      <c r="E34" t="str">
        <f t="shared" ref="E34:E65" si="2">_xlfn.CONCAT(I34,IF(J34="",""," "&amp;J34),IF(P34="",""," "&amp;P34&amp;" "&amp;N34)," "&amp;O34," "&amp;K34)</f>
        <v>Mamapop Mix Thùng 12 Lon 320</v>
      </c>
      <c r="F34" t="s">
        <v>150</v>
      </c>
      <c r="G34" t="s">
        <v>151</v>
      </c>
      <c r="H34" t="s">
        <v>35</v>
      </c>
      <c r="I34" t="str">
        <f t="shared" ref="I34:I65" si="3">G34&amp;" "&amp;H34</f>
        <v>Mamapop Mix</v>
      </c>
      <c r="K34">
        <v>320</v>
      </c>
      <c r="L34" t="s">
        <v>572</v>
      </c>
      <c r="M34" t="s">
        <v>87</v>
      </c>
      <c r="N34">
        <v>12</v>
      </c>
      <c r="O34" t="s">
        <v>27</v>
      </c>
      <c r="P34" t="s">
        <v>29</v>
      </c>
      <c r="Q34" t="s">
        <v>164</v>
      </c>
      <c r="T34" t="s">
        <v>122</v>
      </c>
      <c r="U34" t="s">
        <v>363</v>
      </c>
    </row>
    <row r="35" spans="1:21" x14ac:dyDescent="0.35">
      <c r="A35" t="str">
        <f>1&amp;B35</f>
        <v>1CL006</v>
      </c>
      <c r="B35" t="s">
        <v>189</v>
      </c>
      <c r="C35">
        <v>1</v>
      </c>
      <c r="D35">
        <v>1</v>
      </c>
      <c r="E35" t="str">
        <f t="shared" si="2"/>
        <v>Cela Orginal Chanh Lime Lon 320</v>
      </c>
      <c r="F35" t="s">
        <v>275</v>
      </c>
      <c r="G35" t="s">
        <v>165</v>
      </c>
      <c r="H35" t="s">
        <v>14</v>
      </c>
      <c r="I35" t="str">
        <f t="shared" si="3"/>
        <v>Cela Orginal</v>
      </c>
      <c r="J35" t="s">
        <v>281</v>
      </c>
      <c r="K35">
        <v>320</v>
      </c>
      <c r="L35" t="s">
        <v>572</v>
      </c>
      <c r="M35" t="s">
        <v>87</v>
      </c>
      <c r="N35">
        <v>1</v>
      </c>
      <c r="O35" t="s">
        <v>27</v>
      </c>
      <c r="Q35" t="s">
        <v>287</v>
      </c>
      <c r="R35" t="s">
        <v>288</v>
      </c>
      <c r="T35" t="s">
        <v>122</v>
      </c>
      <c r="U35" t="s">
        <v>363</v>
      </c>
    </row>
    <row r="36" spans="1:21" x14ac:dyDescent="0.35">
      <c r="A36" t="s">
        <v>190</v>
      </c>
      <c r="B36" t="s">
        <v>190</v>
      </c>
      <c r="C36">
        <v>0</v>
      </c>
      <c r="D36">
        <v>1</v>
      </c>
      <c r="E36" t="str">
        <f t="shared" si="2"/>
        <v>Cela Orginal Cola Thùng 12 Lon 320</v>
      </c>
      <c r="F36" t="s">
        <v>171</v>
      </c>
      <c r="G36" t="s">
        <v>165</v>
      </c>
      <c r="H36" t="s">
        <v>14</v>
      </c>
      <c r="I36" t="str">
        <f t="shared" si="3"/>
        <v>Cela Orginal</v>
      </c>
      <c r="J36" t="s">
        <v>168</v>
      </c>
      <c r="K36">
        <v>320</v>
      </c>
      <c r="L36" t="s">
        <v>572</v>
      </c>
      <c r="M36" t="s">
        <v>87</v>
      </c>
      <c r="N36">
        <v>12</v>
      </c>
      <c r="O36" t="s">
        <v>27</v>
      </c>
      <c r="P36" t="s">
        <v>29</v>
      </c>
      <c r="Q36" t="s">
        <v>176</v>
      </c>
      <c r="T36" t="s">
        <v>122</v>
      </c>
      <c r="U36" t="s">
        <v>363</v>
      </c>
    </row>
    <row r="37" spans="1:21" x14ac:dyDescent="0.35">
      <c r="A37" t="str">
        <f>1&amp;B37</f>
        <v>1CL007</v>
      </c>
      <c r="B37" t="s">
        <v>190</v>
      </c>
      <c r="C37">
        <v>1</v>
      </c>
      <c r="D37">
        <v>1</v>
      </c>
      <c r="E37" t="str">
        <f t="shared" si="2"/>
        <v>Cela Orginal Classic Cola Lon 320</v>
      </c>
      <c r="F37" t="s">
        <v>274</v>
      </c>
      <c r="G37" t="s">
        <v>165</v>
      </c>
      <c r="H37" t="s">
        <v>14</v>
      </c>
      <c r="I37" t="str">
        <f t="shared" si="3"/>
        <v>Cela Orginal</v>
      </c>
      <c r="J37" t="s">
        <v>280</v>
      </c>
      <c r="K37">
        <v>320</v>
      </c>
      <c r="L37" t="s">
        <v>572</v>
      </c>
      <c r="M37" t="s">
        <v>87</v>
      </c>
      <c r="N37">
        <v>1</v>
      </c>
      <c r="O37" t="s">
        <v>27</v>
      </c>
      <c r="Q37" t="s">
        <v>285</v>
      </c>
      <c r="R37" t="s">
        <v>286</v>
      </c>
      <c r="T37" t="s">
        <v>122</v>
      </c>
      <c r="U37" t="s">
        <v>363</v>
      </c>
    </row>
    <row r="38" spans="1:21" x14ac:dyDescent="0.35">
      <c r="A38" t="s">
        <v>191</v>
      </c>
      <c r="B38" t="s">
        <v>191</v>
      </c>
      <c r="C38">
        <v>0</v>
      </c>
      <c r="D38">
        <v>1</v>
      </c>
      <c r="E38" t="str">
        <f t="shared" si="2"/>
        <v>Cela Orginal Nho Thùng 12 Lon 320</v>
      </c>
      <c r="F38" t="s">
        <v>172</v>
      </c>
      <c r="G38" t="s">
        <v>165</v>
      </c>
      <c r="H38" t="s">
        <v>14</v>
      </c>
      <c r="I38" t="str">
        <f t="shared" si="3"/>
        <v>Cela Orginal</v>
      </c>
      <c r="J38" t="s">
        <v>83</v>
      </c>
      <c r="K38">
        <v>320</v>
      </c>
      <c r="L38" t="s">
        <v>572</v>
      </c>
      <c r="M38" t="s">
        <v>87</v>
      </c>
      <c r="N38">
        <v>12</v>
      </c>
      <c r="O38" t="s">
        <v>27</v>
      </c>
      <c r="P38" t="s">
        <v>29</v>
      </c>
      <c r="Q38" t="s">
        <v>177</v>
      </c>
      <c r="T38" t="s">
        <v>122</v>
      </c>
      <c r="U38" t="s">
        <v>363</v>
      </c>
    </row>
    <row r="39" spans="1:21" x14ac:dyDescent="0.35">
      <c r="A39" t="s">
        <v>192</v>
      </c>
      <c r="B39" t="s">
        <v>192</v>
      </c>
      <c r="C39">
        <v>0</v>
      </c>
      <c r="D39">
        <v>1</v>
      </c>
      <c r="E39" t="str">
        <f t="shared" si="2"/>
        <v>Cela Mix Thùng 12 Lon 320</v>
      </c>
      <c r="F39" t="s">
        <v>173</v>
      </c>
      <c r="G39" t="s">
        <v>165</v>
      </c>
      <c r="H39" t="s">
        <v>35</v>
      </c>
      <c r="I39" t="str">
        <f t="shared" si="3"/>
        <v>Cela Mix</v>
      </c>
      <c r="K39">
        <v>320</v>
      </c>
      <c r="L39" t="s">
        <v>572</v>
      </c>
      <c r="M39" t="s">
        <v>87</v>
      </c>
      <c r="N39">
        <v>12</v>
      </c>
      <c r="O39" t="s">
        <v>27</v>
      </c>
      <c r="P39" t="s">
        <v>29</v>
      </c>
      <c r="Q39" t="s">
        <v>178</v>
      </c>
      <c r="T39" t="s">
        <v>122</v>
      </c>
      <c r="U39" t="s">
        <v>363</v>
      </c>
    </row>
    <row r="40" spans="1:21" x14ac:dyDescent="0.35">
      <c r="A40" t="str">
        <f>1&amp;B40</f>
        <v>1CL008</v>
      </c>
      <c r="B40" t="s">
        <v>191</v>
      </c>
      <c r="C40">
        <v>1</v>
      </c>
      <c r="D40">
        <v>1</v>
      </c>
      <c r="E40" t="str">
        <f t="shared" si="2"/>
        <v>Cela Orginal Nho Berry Lon 320</v>
      </c>
      <c r="F40" t="s">
        <v>276</v>
      </c>
      <c r="G40" t="s">
        <v>165</v>
      </c>
      <c r="H40" t="s">
        <v>14</v>
      </c>
      <c r="I40" t="str">
        <f t="shared" si="3"/>
        <v>Cela Orginal</v>
      </c>
      <c r="J40" t="s">
        <v>282</v>
      </c>
      <c r="K40">
        <v>320</v>
      </c>
      <c r="L40" t="s">
        <v>572</v>
      </c>
      <c r="M40" t="s">
        <v>87</v>
      </c>
      <c r="N40">
        <v>1</v>
      </c>
      <c r="O40" t="s">
        <v>27</v>
      </c>
      <c r="Q40" t="s">
        <v>289</v>
      </c>
      <c r="R40" t="s">
        <v>290</v>
      </c>
      <c r="T40" t="s">
        <v>122</v>
      </c>
      <c r="U40" t="s">
        <v>363</v>
      </c>
    </row>
    <row r="41" spans="1:21" x14ac:dyDescent="0.35">
      <c r="A41" t="s">
        <v>193</v>
      </c>
      <c r="B41" t="s">
        <v>193</v>
      </c>
      <c r="C41">
        <v>0</v>
      </c>
      <c r="D41">
        <v>1</v>
      </c>
      <c r="E41" t="str">
        <f t="shared" si="2"/>
        <v>Cela Orginal Việt Quất Thùng 12 Lon 320</v>
      </c>
      <c r="F41" t="s">
        <v>183</v>
      </c>
      <c r="G41" t="s">
        <v>165</v>
      </c>
      <c r="H41" t="s">
        <v>14</v>
      </c>
      <c r="I41" t="str">
        <f t="shared" si="3"/>
        <v>Cela Orginal</v>
      </c>
      <c r="J41" t="s">
        <v>20</v>
      </c>
      <c r="K41">
        <v>320</v>
      </c>
      <c r="L41" t="s">
        <v>572</v>
      </c>
      <c r="M41" t="s">
        <v>87</v>
      </c>
      <c r="N41">
        <v>12</v>
      </c>
      <c r="O41" t="s">
        <v>27</v>
      </c>
      <c r="P41" t="s">
        <v>29</v>
      </c>
      <c r="Q41" t="s">
        <v>179</v>
      </c>
      <c r="T41" t="s">
        <v>122</v>
      </c>
      <c r="U41" t="s">
        <v>363</v>
      </c>
    </row>
    <row r="42" spans="1:21" x14ac:dyDescent="0.35">
      <c r="A42" t="s">
        <v>195</v>
      </c>
      <c r="B42" t="s">
        <v>195</v>
      </c>
      <c r="C42">
        <v>0</v>
      </c>
      <c r="D42">
        <v>1</v>
      </c>
      <c r="E42" t="str">
        <f t="shared" si="2"/>
        <v>Cela Orginal Chanh Thùng 12 Lon 320</v>
      </c>
      <c r="F42" t="s">
        <v>185</v>
      </c>
      <c r="G42" t="s">
        <v>165</v>
      </c>
      <c r="H42" t="s">
        <v>14</v>
      </c>
      <c r="I42" t="str">
        <f t="shared" si="3"/>
        <v>Cela Orginal</v>
      </c>
      <c r="J42" t="s">
        <v>167</v>
      </c>
      <c r="K42">
        <v>320</v>
      </c>
      <c r="L42" t="s">
        <v>572</v>
      </c>
      <c r="M42" t="s">
        <v>87</v>
      </c>
      <c r="N42">
        <v>12</v>
      </c>
      <c r="O42" t="s">
        <v>27</v>
      </c>
      <c r="P42" t="s">
        <v>29</v>
      </c>
      <c r="Q42" t="s">
        <v>175</v>
      </c>
      <c r="T42" t="s">
        <v>122</v>
      </c>
      <c r="U42" t="s">
        <v>363</v>
      </c>
    </row>
    <row r="43" spans="1:21" x14ac:dyDescent="0.35">
      <c r="A43" t="s">
        <v>196</v>
      </c>
      <c r="B43" t="s">
        <v>196</v>
      </c>
      <c r="C43">
        <v>0</v>
      </c>
      <c r="D43">
        <v>1</v>
      </c>
      <c r="E43" t="str">
        <f t="shared" si="2"/>
        <v>Cela Orginal Nho Thùng 12 Lon 320</v>
      </c>
      <c r="F43" t="s">
        <v>186</v>
      </c>
      <c r="G43" t="s">
        <v>165</v>
      </c>
      <c r="H43" t="s">
        <v>14</v>
      </c>
      <c r="I43" t="str">
        <f t="shared" si="3"/>
        <v>Cela Orginal</v>
      </c>
      <c r="J43" t="s">
        <v>83</v>
      </c>
      <c r="K43">
        <v>320</v>
      </c>
      <c r="L43" t="s">
        <v>572</v>
      </c>
      <c r="M43" t="s">
        <v>87</v>
      </c>
      <c r="N43">
        <v>12</v>
      </c>
      <c r="O43" t="s">
        <v>27</v>
      </c>
      <c r="P43" t="s">
        <v>29</v>
      </c>
      <c r="Q43" t="s">
        <v>177</v>
      </c>
      <c r="T43" t="s">
        <v>122</v>
      </c>
      <c r="U43" t="s">
        <v>363</v>
      </c>
    </row>
    <row r="44" spans="1:21" x14ac:dyDescent="0.35">
      <c r="A44" t="s">
        <v>197</v>
      </c>
      <c r="B44" t="s">
        <v>197</v>
      </c>
      <c r="C44">
        <v>0</v>
      </c>
      <c r="D44">
        <v>1</v>
      </c>
      <c r="E44" t="str">
        <f t="shared" si="2"/>
        <v>Cela Mix Thùng 12 Lon 320</v>
      </c>
      <c r="F44" t="s">
        <v>187</v>
      </c>
      <c r="G44" t="s">
        <v>165</v>
      </c>
      <c r="H44" t="s">
        <v>35</v>
      </c>
      <c r="I44" t="str">
        <f t="shared" si="3"/>
        <v>Cela Mix</v>
      </c>
      <c r="K44">
        <v>320</v>
      </c>
      <c r="L44" t="s">
        <v>572</v>
      </c>
      <c r="M44" t="s">
        <v>87</v>
      </c>
      <c r="N44">
        <v>12</v>
      </c>
      <c r="O44" t="s">
        <v>27</v>
      </c>
      <c r="P44" t="s">
        <v>29</v>
      </c>
      <c r="Q44" t="s">
        <v>181</v>
      </c>
      <c r="T44" t="s">
        <v>122</v>
      </c>
      <c r="U44" t="s">
        <v>363</v>
      </c>
    </row>
    <row r="45" spans="1:21" x14ac:dyDescent="0.35">
      <c r="A45" t="str">
        <f>1&amp;B45</f>
        <v>1CL039</v>
      </c>
      <c r="B45" t="s">
        <v>193</v>
      </c>
      <c r="C45">
        <v>1</v>
      </c>
      <c r="D45">
        <v>1</v>
      </c>
      <c r="E45" t="str">
        <f t="shared" si="2"/>
        <v>Cela Orginal Việt Quất Lon 320</v>
      </c>
      <c r="F45" t="s">
        <v>277</v>
      </c>
      <c r="G45" t="s">
        <v>165</v>
      </c>
      <c r="H45" t="s">
        <v>14</v>
      </c>
      <c r="I45" t="str">
        <f t="shared" si="3"/>
        <v>Cela Orginal</v>
      </c>
      <c r="J45" t="s">
        <v>20</v>
      </c>
      <c r="K45">
        <v>320</v>
      </c>
      <c r="L45" t="s">
        <v>572</v>
      </c>
      <c r="M45" t="s">
        <v>87</v>
      </c>
      <c r="N45">
        <v>1</v>
      </c>
      <c r="O45" t="s">
        <v>27</v>
      </c>
      <c r="Q45" t="s">
        <v>291</v>
      </c>
      <c r="R45" t="s">
        <v>292</v>
      </c>
      <c r="T45" t="s">
        <v>122</v>
      </c>
      <c r="U45" t="s">
        <v>363</v>
      </c>
    </row>
    <row r="46" spans="1:21" x14ac:dyDescent="0.35">
      <c r="A46" t="s">
        <v>194</v>
      </c>
      <c r="B46" t="s">
        <v>194</v>
      </c>
      <c r="C46">
        <v>0</v>
      </c>
      <c r="D46">
        <v>1</v>
      </c>
      <c r="E46" t="str">
        <f t="shared" si="2"/>
        <v>Cela Orginal Dưa Hấu Thùng 12 Lon 320</v>
      </c>
      <c r="F46" t="s">
        <v>184</v>
      </c>
      <c r="G46" t="s">
        <v>165</v>
      </c>
      <c r="H46" t="s">
        <v>14</v>
      </c>
      <c r="I46" t="str">
        <f t="shared" si="3"/>
        <v>Cela Orginal</v>
      </c>
      <c r="J46" t="s">
        <v>182</v>
      </c>
      <c r="K46">
        <v>320</v>
      </c>
      <c r="L46" t="s">
        <v>572</v>
      </c>
      <c r="M46" t="s">
        <v>87</v>
      </c>
      <c r="N46">
        <v>12</v>
      </c>
      <c r="O46" t="s">
        <v>27</v>
      </c>
      <c r="P46" t="s">
        <v>29</v>
      </c>
      <c r="Q46" t="s">
        <v>180</v>
      </c>
      <c r="T46" t="s">
        <v>122</v>
      </c>
      <c r="U46" t="s">
        <v>363</v>
      </c>
    </row>
    <row r="47" spans="1:21" x14ac:dyDescent="0.35">
      <c r="A47" t="str">
        <f>1&amp;B47</f>
        <v>1CL040</v>
      </c>
      <c r="B47" t="s">
        <v>194</v>
      </c>
      <c r="C47">
        <v>1</v>
      </c>
      <c r="D47">
        <v>1</v>
      </c>
      <c r="E47" t="str">
        <f t="shared" si="2"/>
        <v>Cela Orginal Dưa Hấu Lon 320</v>
      </c>
      <c r="F47" t="s">
        <v>278</v>
      </c>
      <c r="G47" t="s">
        <v>165</v>
      </c>
      <c r="H47" t="s">
        <v>14</v>
      </c>
      <c r="I47" t="str">
        <f t="shared" si="3"/>
        <v>Cela Orginal</v>
      </c>
      <c r="J47" t="s">
        <v>182</v>
      </c>
      <c r="K47">
        <v>320</v>
      </c>
      <c r="L47" t="s">
        <v>572</v>
      </c>
      <c r="M47" t="s">
        <v>87</v>
      </c>
      <c r="N47">
        <v>1</v>
      </c>
      <c r="O47" t="s">
        <v>27</v>
      </c>
      <c r="Q47" t="s">
        <v>293</v>
      </c>
      <c r="R47" t="s">
        <v>294</v>
      </c>
      <c r="T47" t="s">
        <v>122</v>
      </c>
      <c r="U47" t="s">
        <v>363</v>
      </c>
    </row>
    <row r="48" spans="1:21" x14ac:dyDescent="0.35">
      <c r="A48" t="s">
        <v>130</v>
      </c>
      <c r="B48" t="s">
        <v>130</v>
      </c>
      <c r="C48">
        <v>0</v>
      </c>
      <c r="D48">
        <v>1</v>
      </c>
      <c r="E48" t="str">
        <f t="shared" si="2"/>
        <v>Mamapop Orginal Cam Đào Thùng 12 Lon 320</v>
      </c>
      <c r="F48" t="s">
        <v>539</v>
      </c>
      <c r="G48" t="s">
        <v>151</v>
      </c>
      <c r="H48" t="s">
        <v>14</v>
      </c>
      <c r="I48" t="str">
        <f t="shared" si="3"/>
        <v>Mamapop Orginal</v>
      </c>
      <c r="J48" t="s">
        <v>25</v>
      </c>
      <c r="K48">
        <v>320</v>
      </c>
      <c r="L48" t="s">
        <v>572</v>
      </c>
      <c r="M48" t="s">
        <v>87</v>
      </c>
      <c r="N48">
        <v>12</v>
      </c>
      <c r="O48" t="s">
        <v>27</v>
      </c>
      <c r="P48" t="s">
        <v>29</v>
      </c>
      <c r="Q48" t="s">
        <v>157</v>
      </c>
      <c r="T48" t="s">
        <v>122</v>
      </c>
      <c r="U48" t="s">
        <v>363</v>
      </c>
    </row>
    <row r="49" spans="1:21" x14ac:dyDescent="0.35">
      <c r="A49" t="str">
        <f>1&amp;B49</f>
        <v>1MP080</v>
      </c>
      <c r="B49" t="s">
        <v>130</v>
      </c>
      <c r="C49">
        <v>1</v>
      </c>
      <c r="D49">
        <v>1</v>
      </c>
      <c r="E49" t="str">
        <f t="shared" si="2"/>
        <v>Mamapop Orginal Cam Đào Lon 320</v>
      </c>
      <c r="F49" t="s">
        <v>255</v>
      </c>
      <c r="G49" t="s">
        <v>151</v>
      </c>
      <c r="H49" t="s">
        <v>14</v>
      </c>
      <c r="I49" t="str">
        <f t="shared" si="3"/>
        <v>Mamapop Orginal</v>
      </c>
      <c r="J49" t="s">
        <v>25</v>
      </c>
      <c r="K49">
        <v>320</v>
      </c>
      <c r="L49" t="s">
        <v>572</v>
      </c>
      <c r="M49" t="s">
        <v>87</v>
      </c>
      <c r="N49">
        <v>1</v>
      </c>
      <c r="O49" t="s">
        <v>27</v>
      </c>
      <c r="Q49" t="s">
        <v>261</v>
      </c>
      <c r="R49" t="s">
        <v>262</v>
      </c>
      <c r="T49" t="s">
        <v>122</v>
      </c>
      <c r="U49" t="s">
        <v>363</v>
      </c>
    </row>
    <row r="50" spans="1:21" x14ac:dyDescent="0.35">
      <c r="A50" t="s">
        <v>131</v>
      </c>
      <c r="B50" t="s">
        <v>131</v>
      </c>
      <c r="C50">
        <v>0</v>
      </c>
      <c r="D50">
        <v>1</v>
      </c>
      <c r="E50" t="str">
        <f t="shared" si="2"/>
        <v>Mamapop Orginal Bưởi Hồng Thùng 12 Lon 320</v>
      </c>
      <c r="F50" t="s">
        <v>540</v>
      </c>
      <c r="G50" t="s">
        <v>151</v>
      </c>
      <c r="H50" t="s">
        <v>14</v>
      </c>
      <c r="I50" t="str">
        <f t="shared" si="3"/>
        <v>Mamapop Orginal</v>
      </c>
      <c r="J50" t="s">
        <v>152</v>
      </c>
      <c r="K50">
        <v>320</v>
      </c>
      <c r="L50" t="s">
        <v>572</v>
      </c>
      <c r="M50" t="s">
        <v>87</v>
      </c>
      <c r="N50">
        <v>12</v>
      </c>
      <c r="O50" t="s">
        <v>27</v>
      </c>
      <c r="P50" t="s">
        <v>29</v>
      </c>
      <c r="Q50" t="s">
        <v>158</v>
      </c>
      <c r="T50" t="s">
        <v>122</v>
      </c>
      <c r="U50" t="s">
        <v>363</v>
      </c>
    </row>
    <row r="51" spans="1:21" x14ac:dyDescent="0.35">
      <c r="A51" t="str">
        <f>1&amp;B51</f>
        <v>1MP081</v>
      </c>
      <c r="B51" t="s">
        <v>131</v>
      </c>
      <c r="C51">
        <v>1</v>
      </c>
      <c r="D51">
        <v>1</v>
      </c>
      <c r="E51" t="str">
        <f t="shared" si="2"/>
        <v>Mamapop Orginal Bưởi Hồng Lon 320</v>
      </c>
      <c r="F51" t="s">
        <v>256</v>
      </c>
      <c r="G51" t="s">
        <v>151</v>
      </c>
      <c r="H51" t="s">
        <v>14</v>
      </c>
      <c r="I51" t="str">
        <f t="shared" si="3"/>
        <v>Mamapop Orginal</v>
      </c>
      <c r="J51" t="s">
        <v>152</v>
      </c>
      <c r="K51">
        <v>320</v>
      </c>
      <c r="L51" t="s">
        <v>572</v>
      </c>
      <c r="M51" t="s">
        <v>87</v>
      </c>
      <c r="N51">
        <v>1</v>
      </c>
      <c r="O51" t="s">
        <v>27</v>
      </c>
      <c r="Q51" t="s">
        <v>263</v>
      </c>
      <c r="R51" t="s">
        <v>264</v>
      </c>
      <c r="T51" t="s">
        <v>122</v>
      </c>
      <c r="U51" t="s">
        <v>363</v>
      </c>
    </row>
    <row r="52" spans="1:21" x14ac:dyDescent="0.35">
      <c r="A52" t="s">
        <v>132</v>
      </c>
      <c r="B52" t="s">
        <v>132</v>
      </c>
      <c r="C52">
        <v>0</v>
      </c>
      <c r="D52">
        <v>1</v>
      </c>
      <c r="E52" t="str">
        <f t="shared" si="2"/>
        <v>Mamapop Orginal Gừng Thùng 12 Lon 320</v>
      </c>
      <c r="F52" t="s">
        <v>541</v>
      </c>
      <c r="G52" t="s">
        <v>151</v>
      </c>
      <c r="H52" t="s">
        <v>14</v>
      </c>
      <c r="I52" t="str">
        <f t="shared" si="3"/>
        <v>Mamapop Orginal</v>
      </c>
      <c r="J52" t="s">
        <v>155</v>
      </c>
      <c r="K52">
        <v>320</v>
      </c>
      <c r="L52" t="s">
        <v>572</v>
      </c>
      <c r="M52" t="s">
        <v>87</v>
      </c>
      <c r="N52">
        <v>12</v>
      </c>
      <c r="O52" t="s">
        <v>27</v>
      </c>
      <c r="P52" t="s">
        <v>29</v>
      </c>
      <c r="Q52" t="s">
        <v>159</v>
      </c>
      <c r="T52" t="s">
        <v>122</v>
      </c>
      <c r="U52" t="s">
        <v>363</v>
      </c>
    </row>
    <row r="53" spans="1:21" x14ac:dyDescent="0.35">
      <c r="A53" t="str">
        <f>1&amp;B53</f>
        <v>1MP082</v>
      </c>
      <c r="B53" t="s">
        <v>132</v>
      </c>
      <c r="C53">
        <v>1</v>
      </c>
      <c r="D53">
        <v>1</v>
      </c>
      <c r="E53" t="str">
        <f t="shared" si="2"/>
        <v>Mamapop Orginal Gừng Lon 320</v>
      </c>
      <c r="F53" t="s">
        <v>257</v>
      </c>
      <c r="G53" t="s">
        <v>151</v>
      </c>
      <c r="H53" t="s">
        <v>14</v>
      </c>
      <c r="I53" t="str">
        <f t="shared" si="3"/>
        <v>Mamapop Orginal</v>
      </c>
      <c r="J53" t="s">
        <v>155</v>
      </c>
      <c r="K53">
        <v>320</v>
      </c>
      <c r="L53" t="s">
        <v>572</v>
      </c>
      <c r="M53" t="s">
        <v>87</v>
      </c>
      <c r="N53">
        <v>1</v>
      </c>
      <c r="O53" t="s">
        <v>27</v>
      </c>
      <c r="Q53" t="s">
        <v>265</v>
      </c>
      <c r="R53" t="s">
        <v>266</v>
      </c>
      <c r="T53" t="s">
        <v>122</v>
      </c>
      <c r="U53" t="s">
        <v>363</v>
      </c>
    </row>
    <row r="54" spans="1:21" x14ac:dyDescent="0.35">
      <c r="A54" t="s">
        <v>133</v>
      </c>
      <c r="B54" t="s">
        <v>133</v>
      </c>
      <c r="C54">
        <v>0</v>
      </c>
      <c r="D54">
        <v>1</v>
      </c>
      <c r="E54" t="str">
        <f t="shared" si="2"/>
        <v>Mamapop Orginal Cam Yuzu Thùng 12 Lon 320</v>
      </c>
      <c r="F54" t="s">
        <v>542</v>
      </c>
      <c r="G54" t="s">
        <v>151</v>
      </c>
      <c r="H54" t="s">
        <v>14</v>
      </c>
      <c r="I54" t="str">
        <f t="shared" si="3"/>
        <v>Mamapop Orginal</v>
      </c>
      <c r="J54" t="s">
        <v>22</v>
      </c>
      <c r="K54">
        <v>320</v>
      </c>
      <c r="L54" t="s">
        <v>572</v>
      </c>
      <c r="M54" t="s">
        <v>87</v>
      </c>
      <c r="N54">
        <v>12</v>
      </c>
      <c r="O54" t="s">
        <v>27</v>
      </c>
      <c r="P54" t="s">
        <v>29</v>
      </c>
      <c r="Q54" t="s">
        <v>160</v>
      </c>
      <c r="T54" t="s">
        <v>122</v>
      </c>
      <c r="U54" t="s">
        <v>363</v>
      </c>
    </row>
    <row r="55" spans="1:21" x14ac:dyDescent="0.35">
      <c r="A55" t="str">
        <f>1&amp;B55</f>
        <v>1MP083</v>
      </c>
      <c r="B55" t="s">
        <v>133</v>
      </c>
      <c r="C55">
        <v>1</v>
      </c>
      <c r="D55">
        <v>1</v>
      </c>
      <c r="E55" t="str">
        <f t="shared" si="2"/>
        <v>Mamapop Orginal Cam Yuzu Lon 320</v>
      </c>
      <c r="F55" t="s">
        <v>259</v>
      </c>
      <c r="G55" t="s">
        <v>151</v>
      </c>
      <c r="H55" t="s">
        <v>14</v>
      </c>
      <c r="I55" t="str">
        <f t="shared" si="3"/>
        <v>Mamapop Orginal</v>
      </c>
      <c r="J55" t="s">
        <v>22</v>
      </c>
      <c r="K55">
        <v>320</v>
      </c>
      <c r="L55" t="s">
        <v>572</v>
      </c>
      <c r="M55" t="s">
        <v>87</v>
      </c>
      <c r="N55">
        <v>1</v>
      </c>
      <c r="O55" t="s">
        <v>27</v>
      </c>
      <c r="Q55" t="s">
        <v>269</v>
      </c>
      <c r="R55" t="s">
        <v>270</v>
      </c>
      <c r="T55" t="s">
        <v>122</v>
      </c>
      <c r="U55" t="s">
        <v>363</v>
      </c>
    </row>
    <row r="56" spans="1:21" x14ac:dyDescent="0.35">
      <c r="A56" t="s">
        <v>134</v>
      </c>
      <c r="B56" t="s">
        <v>134</v>
      </c>
      <c r="C56">
        <v>0</v>
      </c>
      <c r="D56">
        <v>1</v>
      </c>
      <c r="E56" t="str">
        <f t="shared" si="2"/>
        <v>Mamapop Orginal Ổi Hồng Thùng 12 Lon 320</v>
      </c>
      <c r="F56" t="s">
        <v>543</v>
      </c>
      <c r="G56" t="s">
        <v>151</v>
      </c>
      <c r="H56" t="s">
        <v>14</v>
      </c>
      <c r="I56" t="str">
        <f t="shared" si="3"/>
        <v>Mamapop Orginal</v>
      </c>
      <c r="J56" t="s">
        <v>19</v>
      </c>
      <c r="K56">
        <v>320</v>
      </c>
      <c r="L56" t="s">
        <v>572</v>
      </c>
      <c r="M56" t="s">
        <v>87</v>
      </c>
      <c r="N56">
        <v>12</v>
      </c>
      <c r="O56" t="s">
        <v>27</v>
      </c>
      <c r="P56" t="s">
        <v>29</v>
      </c>
      <c r="Q56" t="s">
        <v>161</v>
      </c>
      <c r="T56" t="s">
        <v>122</v>
      </c>
      <c r="U56" t="s">
        <v>363</v>
      </c>
    </row>
    <row r="57" spans="1:21" x14ac:dyDescent="0.35">
      <c r="A57" t="str">
        <f>1&amp;B57</f>
        <v>1MP084</v>
      </c>
      <c r="B57" t="s">
        <v>134</v>
      </c>
      <c r="C57">
        <v>1</v>
      </c>
      <c r="D57">
        <v>1</v>
      </c>
      <c r="E57" t="str">
        <f t="shared" si="2"/>
        <v>Mamapop Orginal Ổi Hồng Lon 320</v>
      </c>
      <c r="F57" t="s">
        <v>258</v>
      </c>
      <c r="G57" t="s">
        <v>151</v>
      </c>
      <c r="H57" t="s">
        <v>14</v>
      </c>
      <c r="I57" t="str">
        <f t="shared" si="3"/>
        <v>Mamapop Orginal</v>
      </c>
      <c r="J57" t="s">
        <v>19</v>
      </c>
      <c r="K57">
        <v>320</v>
      </c>
      <c r="L57" t="s">
        <v>572</v>
      </c>
      <c r="M57" t="s">
        <v>87</v>
      </c>
      <c r="N57">
        <v>1</v>
      </c>
      <c r="O57" t="s">
        <v>27</v>
      </c>
      <c r="Q57" t="s">
        <v>267</v>
      </c>
      <c r="R57" t="s">
        <v>268</v>
      </c>
      <c r="T57" t="s">
        <v>122</v>
      </c>
      <c r="U57" t="s">
        <v>363</v>
      </c>
    </row>
    <row r="58" spans="1:21" x14ac:dyDescent="0.35">
      <c r="A58" t="s">
        <v>135</v>
      </c>
      <c r="B58" t="s">
        <v>135</v>
      </c>
      <c r="C58">
        <v>0</v>
      </c>
      <c r="D58">
        <v>1</v>
      </c>
      <c r="E58" t="str">
        <f t="shared" si="2"/>
        <v>Mamapop Orginal Xoài Kiwi Thùng 12 Lon 320</v>
      </c>
      <c r="F58" t="s">
        <v>544</v>
      </c>
      <c r="G58" t="s">
        <v>151</v>
      </c>
      <c r="H58" t="s">
        <v>14</v>
      </c>
      <c r="I58" t="str">
        <f t="shared" si="3"/>
        <v>Mamapop Orginal</v>
      </c>
      <c r="J58" t="s">
        <v>23</v>
      </c>
      <c r="K58">
        <v>320</v>
      </c>
      <c r="L58" t="s">
        <v>572</v>
      </c>
      <c r="M58" t="s">
        <v>87</v>
      </c>
      <c r="N58">
        <v>12</v>
      </c>
      <c r="O58" t="s">
        <v>27</v>
      </c>
      <c r="P58" t="s">
        <v>29</v>
      </c>
      <c r="Q58" t="s">
        <v>162</v>
      </c>
      <c r="T58" t="s">
        <v>122</v>
      </c>
      <c r="U58" t="s">
        <v>363</v>
      </c>
    </row>
    <row r="59" spans="1:21" x14ac:dyDescent="0.35">
      <c r="A59" t="str">
        <f>1&amp;B59</f>
        <v>1MP085</v>
      </c>
      <c r="B59" t="s">
        <v>135</v>
      </c>
      <c r="C59">
        <v>1</v>
      </c>
      <c r="D59">
        <v>1</v>
      </c>
      <c r="E59" t="str">
        <f t="shared" si="2"/>
        <v>Mamapop Orginal Xoài Kiwi Lon 320</v>
      </c>
      <c r="F59" t="s">
        <v>260</v>
      </c>
      <c r="G59" t="s">
        <v>151</v>
      </c>
      <c r="H59" t="s">
        <v>14</v>
      </c>
      <c r="I59" t="str">
        <f t="shared" si="3"/>
        <v>Mamapop Orginal</v>
      </c>
      <c r="J59" t="s">
        <v>23</v>
      </c>
      <c r="K59">
        <v>320</v>
      </c>
      <c r="L59" t="s">
        <v>572</v>
      </c>
      <c r="M59" t="s">
        <v>87</v>
      </c>
      <c r="N59">
        <v>1</v>
      </c>
      <c r="O59" t="s">
        <v>27</v>
      </c>
      <c r="Q59" t="s">
        <v>271</v>
      </c>
      <c r="R59" t="s">
        <v>272</v>
      </c>
      <c r="T59" t="s">
        <v>122</v>
      </c>
      <c r="U59" t="s">
        <v>363</v>
      </c>
    </row>
    <row r="60" spans="1:21" x14ac:dyDescent="0.35">
      <c r="A60" t="s">
        <v>63</v>
      </c>
      <c r="B60" t="s">
        <v>63</v>
      </c>
      <c r="C60">
        <v>0</v>
      </c>
      <c r="D60">
        <v>1</v>
      </c>
      <c r="E60" t="str">
        <f t="shared" si="2"/>
        <v>Star Kombucha Orginal Cam Đào Thùng 12 Lon 250</v>
      </c>
      <c r="F60" t="s">
        <v>54</v>
      </c>
      <c r="G60" t="s">
        <v>8</v>
      </c>
      <c r="H60" t="s">
        <v>14</v>
      </c>
      <c r="I60" t="str">
        <f t="shared" si="3"/>
        <v>Star Kombucha Orginal</v>
      </c>
      <c r="J60" t="s">
        <v>25</v>
      </c>
      <c r="K60">
        <v>250</v>
      </c>
      <c r="L60" t="s">
        <v>572</v>
      </c>
      <c r="M60" t="s">
        <v>17</v>
      </c>
      <c r="N60">
        <v>12</v>
      </c>
      <c r="O60" t="s">
        <v>27</v>
      </c>
      <c r="P60" t="s">
        <v>29</v>
      </c>
      <c r="Q60" t="s">
        <v>72</v>
      </c>
      <c r="T60" t="s">
        <v>122</v>
      </c>
      <c r="U60" t="s">
        <v>363</v>
      </c>
    </row>
    <row r="61" spans="1:21" x14ac:dyDescent="0.35">
      <c r="A61" t="str">
        <f>1&amp;B61</f>
        <v>1SK024</v>
      </c>
      <c r="B61" t="s">
        <v>63</v>
      </c>
      <c r="C61">
        <v>1</v>
      </c>
      <c r="D61">
        <v>1</v>
      </c>
      <c r="E61" t="str">
        <f t="shared" si="2"/>
        <v>Star Kombucha Orginal Cam Đào Lon 250</v>
      </c>
      <c r="F61" t="s">
        <v>198</v>
      </c>
      <c r="G61" t="s">
        <v>8</v>
      </c>
      <c r="H61" t="s">
        <v>14</v>
      </c>
      <c r="I61" t="str">
        <f t="shared" si="3"/>
        <v>Star Kombucha Orginal</v>
      </c>
      <c r="J61" t="s">
        <v>25</v>
      </c>
      <c r="K61">
        <v>250</v>
      </c>
      <c r="L61" t="s">
        <v>572</v>
      </c>
      <c r="M61" t="s">
        <v>17</v>
      </c>
      <c r="N61">
        <v>1</v>
      </c>
      <c r="O61" t="s">
        <v>27</v>
      </c>
      <c r="Q61" t="s">
        <v>206</v>
      </c>
      <c r="R61" t="s">
        <v>214</v>
      </c>
      <c r="T61" t="s">
        <v>122</v>
      </c>
      <c r="U61" t="s">
        <v>363</v>
      </c>
    </row>
    <row r="62" spans="1:21" x14ac:dyDescent="0.35">
      <c r="A62" t="s">
        <v>64</v>
      </c>
      <c r="B62" t="s">
        <v>64</v>
      </c>
      <c r="C62">
        <v>0</v>
      </c>
      <c r="D62">
        <v>1</v>
      </c>
      <c r="E62" t="str">
        <f t="shared" si="2"/>
        <v>Star Kombucha Orginal Lựu Đỏ Thùng 12 Lon 250</v>
      </c>
      <c r="F62" t="s">
        <v>55</v>
      </c>
      <c r="G62" t="s">
        <v>8</v>
      </c>
      <c r="H62" t="s">
        <v>14</v>
      </c>
      <c r="I62" t="str">
        <f t="shared" si="3"/>
        <v>Star Kombucha Orginal</v>
      </c>
      <c r="J62" t="s">
        <v>18</v>
      </c>
      <c r="K62">
        <v>250</v>
      </c>
      <c r="L62" t="s">
        <v>572</v>
      </c>
      <c r="M62" t="s">
        <v>17</v>
      </c>
      <c r="N62">
        <v>12</v>
      </c>
      <c r="O62" t="s">
        <v>27</v>
      </c>
      <c r="P62" t="s">
        <v>29</v>
      </c>
      <c r="Q62" t="s">
        <v>73</v>
      </c>
      <c r="T62" t="s">
        <v>122</v>
      </c>
      <c r="U62" t="s">
        <v>363</v>
      </c>
    </row>
    <row r="63" spans="1:21" x14ac:dyDescent="0.35">
      <c r="A63" t="str">
        <f>1&amp;B63</f>
        <v>1SK030</v>
      </c>
      <c r="B63" t="s">
        <v>64</v>
      </c>
      <c r="C63">
        <v>1</v>
      </c>
      <c r="D63">
        <v>1</v>
      </c>
      <c r="E63" t="str">
        <f t="shared" si="2"/>
        <v>Star Kombucha Orginal Lựu Đỏ Lon 250</v>
      </c>
      <c r="F63" t="s">
        <v>199</v>
      </c>
      <c r="G63" t="s">
        <v>8</v>
      </c>
      <c r="H63" t="s">
        <v>14</v>
      </c>
      <c r="I63" t="str">
        <f t="shared" si="3"/>
        <v>Star Kombucha Orginal</v>
      </c>
      <c r="J63" t="s">
        <v>18</v>
      </c>
      <c r="K63">
        <v>250</v>
      </c>
      <c r="L63" t="s">
        <v>572</v>
      </c>
      <c r="M63" t="s">
        <v>17</v>
      </c>
      <c r="N63">
        <v>1</v>
      </c>
      <c r="O63" t="s">
        <v>27</v>
      </c>
      <c r="Q63" t="s">
        <v>207</v>
      </c>
      <c r="R63" t="s">
        <v>215</v>
      </c>
      <c r="T63" t="s">
        <v>122</v>
      </c>
      <c r="U63" t="s">
        <v>363</v>
      </c>
    </row>
    <row r="64" spans="1:21" x14ac:dyDescent="0.35">
      <c r="A64" t="s">
        <v>65</v>
      </c>
      <c r="B64" t="s">
        <v>65</v>
      </c>
      <c r="C64">
        <v>0</v>
      </c>
      <c r="D64">
        <v>1</v>
      </c>
      <c r="E64" t="str">
        <f t="shared" si="2"/>
        <v>Star Kombucha Orginal Ổi Hồng Thùng 12 Lon 250</v>
      </c>
      <c r="F64" t="s">
        <v>56</v>
      </c>
      <c r="G64" t="s">
        <v>8</v>
      </c>
      <c r="H64" t="s">
        <v>14</v>
      </c>
      <c r="I64" t="str">
        <f t="shared" si="3"/>
        <v>Star Kombucha Orginal</v>
      </c>
      <c r="J64" t="s">
        <v>19</v>
      </c>
      <c r="K64">
        <v>250</v>
      </c>
      <c r="L64" t="s">
        <v>572</v>
      </c>
      <c r="M64" t="s">
        <v>17</v>
      </c>
      <c r="N64">
        <v>12</v>
      </c>
      <c r="O64" t="s">
        <v>27</v>
      </c>
      <c r="P64" t="s">
        <v>29</v>
      </c>
      <c r="Q64" t="s">
        <v>74</v>
      </c>
      <c r="T64" t="s">
        <v>122</v>
      </c>
      <c r="U64" t="s">
        <v>363</v>
      </c>
    </row>
    <row r="65" spans="1:21" x14ac:dyDescent="0.35">
      <c r="A65" t="str">
        <f>1&amp;B65</f>
        <v>1SK036</v>
      </c>
      <c r="B65" t="s">
        <v>65</v>
      </c>
      <c r="C65">
        <v>1</v>
      </c>
      <c r="D65">
        <v>1</v>
      </c>
      <c r="E65" t="str">
        <f t="shared" si="2"/>
        <v>Star Kombucha Orginal Ổi Hồng Lon 250</v>
      </c>
      <c r="F65" t="s">
        <v>200</v>
      </c>
      <c r="G65" t="s">
        <v>8</v>
      </c>
      <c r="H65" t="s">
        <v>14</v>
      </c>
      <c r="I65" t="str">
        <f t="shared" si="3"/>
        <v>Star Kombucha Orginal</v>
      </c>
      <c r="J65" t="s">
        <v>19</v>
      </c>
      <c r="K65">
        <v>250</v>
      </c>
      <c r="L65" t="s">
        <v>572</v>
      </c>
      <c r="M65" t="s">
        <v>17</v>
      </c>
      <c r="N65">
        <v>1</v>
      </c>
      <c r="O65" t="s">
        <v>27</v>
      </c>
      <c r="Q65" t="s">
        <v>208</v>
      </c>
      <c r="R65" t="s">
        <v>216</v>
      </c>
      <c r="T65" t="s">
        <v>122</v>
      </c>
      <c r="U65" t="s">
        <v>363</v>
      </c>
    </row>
    <row r="66" spans="1:21" x14ac:dyDescent="0.35">
      <c r="A66" t="s">
        <v>66</v>
      </c>
      <c r="B66" t="s">
        <v>66</v>
      </c>
      <c r="C66">
        <v>0</v>
      </c>
      <c r="D66">
        <v>1</v>
      </c>
      <c r="E66" t="str">
        <f t="shared" ref="E66:E74" si="4">_xlfn.CONCAT(I66,IF(J66="",""," "&amp;J66),IF(P66="",""," "&amp;P66&amp;" "&amp;N66)," "&amp;O66," "&amp;K66)</f>
        <v>Star Kombucha Orginal Xoài Kiwi Thùng 12 Lon 250</v>
      </c>
      <c r="F66" t="s">
        <v>57</v>
      </c>
      <c r="G66" t="s">
        <v>8</v>
      </c>
      <c r="H66" t="s">
        <v>14</v>
      </c>
      <c r="I66" t="str">
        <f t="shared" ref="I66:I74" si="5">G66&amp;" "&amp;H66</f>
        <v>Star Kombucha Orginal</v>
      </c>
      <c r="J66" t="s">
        <v>23</v>
      </c>
      <c r="K66">
        <v>250</v>
      </c>
      <c r="L66" t="s">
        <v>572</v>
      </c>
      <c r="M66" t="s">
        <v>17</v>
      </c>
      <c r="N66">
        <v>12</v>
      </c>
      <c r="O66" t="s">
        <v>27</v>
      </c>
      <c r="P66" t="s">
        <v>29</v>
      </c>
      <c r="Q66" t="s">
        <v>75</v>
      </c>
      <c r="T66" t="s">
        <v>122</v>
      </c>
      <c r="U66" t="s">
        <v>363</v>
      </c>
    </row>
    <row r="67" spans="1:21" x14ac:dyDescent="0.35">
      <c r="A67" t="str">
        <f>1&amp;B67</f>
        <v>1SK042</v>
      </c>
      <c r="B67" t="s">
        <v>66</v>
      </c>
      <c r="C67">
        <v>1</v>
      </c>
      <c r="D67">
        <v>1</v>
      </c>
      <c r="E67" t="str">
        <f t="shared" si="4"/>
        <v>Star Kombucha Orginal Xoài Kiwi Lon 250</v>
      </c>
      <c r="F67" t="s">
        <v>201</v>
      </c>
      <c r="G67" t="s">
        <v>8</v>
      </c>
      <c r="H67" t="s">
        <v>14</v>
      </c>
      <c r="I67" t="str">
        <f t="shared" si="5"/>
        <v>Star Kombucha Orginal</v>
      </c>
      <c r="J67" t="s">
        <v>23</v>
      </c>
      <c r="K67">
        <v>250</v>
      </c>
      <c r="L67" t="s">
        <v>572</v>
      </c>
      <c r="M67" t="s">
        <v>17</v>
      </c>
      <c r="N67">
        <v>1</v>
      </c>
      <c r="O67" t="s">
        <v>27</v>
      </c>
      <c r="Q67" t="s">
        <v>209</v>
      </c>
      <c r="R67" t="s">
        <v>217</v>
      </c>
      <c r="T67" t="s">
        <v>122</v>
      </c>
      <c r="U67" t="s">
        <v>363</v>
      </c>
    </row>
    <row r="68" spans="1:21" x14ac:dyDescent="0.35">
      <c r="A68" t="s">
        <v>67</v>
      </c>
      <c r="B68" t="s">
        <v>67</v>
      </c>
      <c r="C68">
        <v>0</v>
      </c>
      <c r="D68">
        <v>1</v>
      </c>
      <c r="E68" t="str">
        <f t="shared" si="4"/>
        <v>Star Kombucha Orginal Dâu Tây Thùng 12 Lon 250</v>
      </c>
      <c r="F68" t="s">
        <v>545</v>
      </c>
      <c r="G68" t="s">
        <v>8</v>
      </c>
      <c r="H68" t="s">
        <v>14</v>
      </c>
      <c r="I68" t="str">
        <f t="shared" si="5"/>
        <v>Star Kombucha Orginal</v>
      </c>
      <c r="J68" t="s">
        <v>16</v>
      </c>
      <c r="K68">
        <v>250</v>
      </c>
      <c r="L68" t="s">
        <v>572</v>
      </c>
      <c r="M68" t="s">
        <v>17</v>
      </c>
      <c r="N68">
        <v>12</v>
      </c>
      <c r="O68" t="s">
        <v>27</v>
      </c>
      <c r="P68" t="s">
        <v>29</v>
      </c>
      <c r="Q68" t="s">
        <v>76</v>
      </c>
      <c r="T68" t="s">
        <v>122</v>
      </c>
      <c r="U68" t="s">
        <v>363</v>
      </c>
    </row>
    <row r="69" spans="1:21" x14ac:dyDescent="0.35">
      <c r="A69" t="str">
        <f>1&amp;B69</f>
        <v>1SK045</v>
      </c>
      <c r="B69" t="s">
        <v>67</v>
      </c>
      <c r="C69">
        <v>1</v>
      </c>
      <c r="D69">
        <v>1</v>
      </c>
      <c r="E69" t="str">
        <f t="shared" si="4"/>
        <v>Star Kombucha Orginal Dâu Tây Lon 250</v>
      </c>
      <c r="F69" t="s">
        <v>202</v>
      </c>
      <c r="G69" t="s">
        <v>8</v>
      </c>
      <c r="H69" t="s">
        <v>14</v>
      </c>
      <c r="I69" t="str">
        <f t="shared" si="5"/>
        <v>Star Kombucha Orginal</v>
      </c>
      <c r="J69" t="s">
        <v>16</v>
      </c>
      <c r="K69">
        <v>250</v>
      </c>
      <c r="L69" t="s">
        <v>572</v>
      </c>
      <c r="M69" t="s">
        <v>17</v>
      </c>
      <c r="N69">
        <v>1</v>
      </c>
      <c r="O69" t="s">
        <v>27</v>
      </c>
      <c r="Q69" t="s">
        <v>210</v>
      </c>
      <c r="R69" t="s">
        <v>218</v>
      </c>
      <c r="T69" t="s">
        <v>122</v>
      </c>
      <c r="U69" t="s">
        <v>363</v>
      </c>
    </row>
    <row r="70" spans="1:21" x14ac:dyDescent="0.35">
      <c r="A70" t="s">
        <v>68</v>
      </c>
      <c r="B70" t="s">
        <v>68</v>
      </c>
      <c r="C70">
        <v>0</v>
      </c>
      <c r="D70">
        <v>1</v>
      </c>
      <c r="E70" t="str">
        <f t="shared" si="4"/>
        <v>Star Kombucha Orginal Vải Kiwi  Thùng 12 Lon 250</v>
      </c>
      <c r="F70" t="s">
        <v>59</v>
      </c>
      <c r="G70" t="s">
        <v>8</v>
      </c>
      <c r="H70" t="s">
        <v>14</v>
      </c>
      <c r="I70" t="str">
        <f t="shared" si="5"/>
        <v>Star Kombucha Orginal</v>
      </c>
      <c r="J70" t="s">
        <v>52</v>
      </c>
      <c r="K70">
        <v>250</v>
      </c>
      <c r="L70" t="s">
        <v>572</v>
      </c>
      <c r="M70" t="s">
        <v>17</v>
      </c>
      <c r="N70">
        <v>12</v>
      </c>
      <c r="O70" t="s">
        <v>27</v>
      </c>
      <c r="P70" t="s">
        <v>29</v>
      </c>
      <c r="Q70" t="s">
        <v>77</v>
      </c>
      <c r="T70" t="s">
        <v>122</v>
      </c>
      <c r="U70" t="s">
        <v>363</v>
      </c>
    </row>
    <row r="71" spans="1:21" x14ac:dyDescent="0.35">
      <c r="A71" t="str">
        <f>1&amp;B71</f>
        <v>1SK057</v>
      </c>
      <c r="B71" t="s">
        <v>68</v>
      </c>
      <c r="C71">
        <v>1</v>
      </c>
      <c r="D71">
        <v>1</v>
      </c>
      <c r="E71" t="str">
        <f t="shared" si="4"/>
        <v>Star Kombucha Orginal Vải Kiwi Lon 250</v>
      </c>
      <c r="F71" t="s">
        <v>203</v>
      </c>
      <c r="G71" t="s">
        <v>8</v>
      </c>
      <c r="H71" t="s">
        <v>14</v>
      </c>
      <c r="I71" t="str">
        <f t="shared" si="5"/>
        <v>Star Kombucha Orginal</v>
      </c>
      <c r="J71" t="s">
        <v>21</v>
      </c>
      <c r="K71">
        <v>250</v>
      </c>
      <c r="L71" t="s">
        <v>572</v>
      </c>
      <c r="M71" t="s">
        <v>17</v>
      </c>
      <c r="N71">
        <v>1</v>
      </c>
      <c r="O71" t="s">
        <v>27</v>
      </c>
      <c r="Q71" t="s">
        <v>211</v>
      </c>
      <c r="R71" t="s">
        <v>219</v>
      </c>
      <c r="T71" t="s">
        <v>122</v>
      </c>
      <c r="U71" t="s">
        <v>363</v>
      </c>
    </row>
    <row r="72" spans="1:21" x14ac:dyDescent="0.35">
      <c r="A72" t="s">
        <v>71</v>
      </c>
      <c r="B72" t="s">
        <v>71</v>
      </c>
      <c r="C72">
        <v>0</v>
      </c>
      <c r="D72">
        <v>1</v>
      </c>
      <c r="E72" t="str">
        <f t="shared" si="4"/>
        <v>Star Kombucha Orginal Nguyên Bản Thùng 8 Túi 1.5</v>
      </c>
      <c r="F72" t="s">
        <v>62</v>
      </c>
      <c r="G72" t="s">
        <v>8</v>
      </c>
      <c r="H72" t="s">
        <v>14</v>
      </c>
      <c r="I72" t="str">
        <f t="shared" si="5"/>
        <v>Star Kombucha Orginal</v>
      </c>
      <c r="J72" t="s">
        <v>205</v>
      </c>
      <c r="K72">
        <v>1.5</v>
      </c>
      <c r="L72" t="s">
        <v>33</v>
      </c>
      <c r="M72" t="s">
        <v>571</v>
      </c>
      <c r="N72">
        <v>8</v>
      </c>
      <c r="O72" t="s">
        <v>45</v>
      </c>
      <c r="P72" t="s">
        <v>29</v>
      </c>
      <c r="Q72" t="s">
        <v>80</v>
      </c>
      <c r="T72" t="s">
        <v>122</v>
      </c>
      <c r="U72" t="s">
        <v>363</v>
      </c>
    </row>
    <row r="73" spans="1:21" x14ac:dyDescent="0.35">
      <c r="A73" t="s">
        <v>295</v>
      </c>
      <c r="B73" t="s">
        <v>295</v>
      </c>
      <c r="C73">
        <v>0</v>
      </c>
      <c r="D73">
        <v>1</v>
      </c>
      <c r="E73" t="str">
        <f t="shared" si="4"/>
        <v>Chill Cocktail Light Việt Quất Thùng 24 Lon 330</v>
      </c>
      <c r="F73" t="s">
        <v>324</v>
      </c>
      <c r="G73" t="s">
        <v>81</v>
      </c>
      <c r="H73" t="s">
        <v>82</v>
      </c>
      <c r="I73" t="str">
        <f t="shared" si="5"/>
        <v>Chill Cocktail Light</v>
      </c>
      <c r="J73" t="s">
        <v>20</v>
      </c>
      <c r="K73">
        <v>330</v>
      </c>
      <c r="L73" t="s">
        <v>572</v>
      </c>
      <c r="M73" t="s">
        <v>154</v>
      </c>
      <c r="N73">
        <v>24</v>
      </c>
      <c r="O73" t="s">
        <v>27</v>
      </c>
      <c r="P73" t="s">
        <v>29</v>
      </c>
      <c r="T73" t="s">
        <v>122</v>
      </c>
      <c r="U73" t="s">
        <v>363</v>
      </c>
    </row>
    <row r="74" spans="1:21" x14ac:dyDescent="0.35">
      <c r="A74" t="str">
        <f>1&amp;B74</f>
        <v>1SK226</v>
      </c>
      <c r="B74" t="s">
        <v>71</v>
      </c>
      <c r="C74">
        <v>1</v>
      </c>
      <c r="D74">
        <v>1</v>
      </c>
      <c r="E74" t="str">
        <f t="shared" si="4"/>
        <v>Star Kombucha Orginal Nguyên Bản Túi 1.5</v>
      </c>
      <c r="F74" t="s">
        <v>204</v>
      </c>
      <c r="G74" t="s">
        <v>8</v>
      </c>
      <c r="H74" t="s">
        <v>14</v>
      </c>
      <c r="I74" t="str">
        <f t="shared" si="5"/>
        <v>Star Kombucha Orginal</v>
      </c>
      <c r="J74" t="s">
        <v>205</v>
      </c>
      <c r="K74">
        <v>1.5</v>
      </c>
      <c r="L74" t="s">
        <v>33</v>
      </c>
      <c r="M74" t="s">
        <v>571</v>
      </c>
      <c r="N74">
        <v>1</v>
      </c>
      <c r="O74" t="s">
        <v>45</v>
      </c>
      <c r="Q74" t="s">
        <v>212</v>
      </c>
      <c r="R74" t="s">
        <v>220</v>
      </c>
      <c r="T74" t="s">
        <v>122</v>
      </c>
      <c r="U74" t="s">
        <v>363</v>
      </c>
    </row>
    <row r="75" spans="1:21" x14ac:dyDescent="0.35">
      <c r="A75" t="s">
        <v>302</v>
      </c>
      <c r="B75" t="s">
        <v>302</v>
      </c>
      <c r="C75">
        <v>0</v>
      </c>
      <c r="D75">
        <v>1</v>
      </c>
      <c r="E75" t="str">
        <f t="shared" ref="E75:E106" si="6">_xlfn.CONCAT(I75,IF(J75="",""," "&amp;J75),IF(P75="",""," "&amp;P75&amp;" "&amp;N75)," "&amp;O75," "&amp;K75)</f>
        <v>Chill Cocktail Light Đào Thùng 24 Lon 320</v>
      </c>
      <c r="F75" t="s">
        <v>299</v>
      </c>
      <c r="G75" t="s">
        <v>81</v>
      </c>
      <c r="H75" t="s">
        <v>82</v>
      </c>
      <c r="I75" t="str">
        <f t="shared" ref="I75:I105" si="7">G75&amp;" "&amp;H75</f>
        <v>Chill Cocktail Light</v>
      </c>
      <c r="J75" t="s">
        <v>84</v>
      </c>
      <c r="K75">
        <v>320</v>
      </c>
      <c r="L75" t="s">
        <v>572</v>
      </c>
      <c r="M75" t="s">
        <v>87</v>
      </c>
      <c r="N75">
        <v>24</v>
      </c>
      <c r="O75" t="s">
        <v>27</v>
      </c>
      <c r="P75" t="s">
        <v>29</v>
      </c>
      <c r="T75" t="s">
        <v>122</v>
      </c>
      <c r="U75" t="s">
        <v>363</v>
      </c>
    </row>
    <row r="76" spans="1:21" x14ac:dyDescent="0.35">
      <c r="A76" t="s">
        <v>303</v>
      </c>
      <c r="B76" t="s">
        <v>303</v>
      </c>
      <c r="C76">
        <v>0</v>
      </c>
      <c r="D76">
        <v>1</v>
      </c>
      <c r="E76" t="str">
        <f t="shared" si="6"/>
        <v>Chill Cocktail Light Dâu Thùng 24 Lon 320</v>
      </c>
      <c r="F76" t="s">
        <v>300</v>
      </c>
      <c r="G76" t="s">
        <v>81</v>
      </c>
      <c r="H76" t="s">
        <v>82</v>
      </c>
      <c r="I76" t="str">
        <f t="shared" si="7"/>
        <v>Chill Cocktail Light</v>
      </c>
      <c r="J76" t="s">
        <v>24</v>
      </c>
      <c r="K76">
        <v>320</v>
      </c>
      <c r="L76" t="s">
        <v>572</v>
      </c>
      <c r="M76" t="s">
        <v>87</v>
      </c>
      <c r="N76">
        <v>24</v>
      </c>
      <c r="O76" t="s">
        <v>27</v>
      </c>
      <c r="P76" t="s">
        <v>29</v>
      </c>
      <c r="T76" t="s">
        <v>122</v>
      </c>
      <c r="U76" t="s">
        <v>363</v>
      </c>
    </row>
    <row r="77" spans="1:21" x14ac:dyDescent="0.35">
      <c r="A77" t="s">
        <v>304</v>
      </c>
      <c r="B77" t="s">
        <v>304</v>
      </c>
      <c r="C77">
        <v>0</v>
      </c>
      <c r="D77">
        <v>1</v>
      </c>
      <c r="E77" t="str">
        <f t="shared" si="6"/>
        <v>Chill Cocktail Light Nho Thùng 24 Lon 330</v>
      </c>
      <c r="F77" t="s">
        <v>301</v>
      </c>
      <c r="G77" t="s">
        <v>81</v>
      </c>
      <c r="H77" t="s">
        <v>82</v>
      </c>
      <c r="I77" t="str">
        <f t="shared" si="7"/>
        <v>Chill Cocktail Light</v>
      </c>
      <c r="J77" t="s">
        <v>83</v>
      </c>
      <c r="K77">
        <v>330</v>
      </c>
      <c r="L77" t="s">
        <v>572</v>
      </c>
      <c r="M77" t="s">
        <v>154</v>
      </c>
      <c r="N77">
        <v>24</v>
      </c>
      <c r="O77" t="s">
        <v>27</v>
      </c>
      <c r="P77" t="s">
        <v>29</v>
      </c>
      <c r="T77" t="s">
        <v>122</v>
      </c>
      <c r="U77" t="s">
        <v>363</v>
      </c>
    </row>
    <row r="78" spans="1:21" x14ac:dyDescent="0.35">
      <c r="A78" t="s">
        <v>305</v>
      </c>
      <c r="B78" t="s">
        <v>305</v>
      </c>
      <c r="C78">
        <v>0</v>
      </c>
      <c r="D78">
        <v>1</v>
      </c>
      <c r="E78" t="str">
        <f t="shared" si="6"/>
        <v>Chill Cocktail Mix Lốc 6 Lon 320</v>
      </c>
      <c r="F78" t="s">
        <v>306</v>
      </c>
      <c r="G78" t="s">
        <v>81</v>
      </c>
      <c r="H78" t="s">
        <v>35</v>
      </c>
      <c r="I78" t="str">
        <f t="shared" si="7"/>
        <v>Chill Cocktail Mix</v>
      </c>
      <c r="K78">
        <v>320</v>
      </c>
      <c r="L78" t="s">
        <v>572</v>
      </c>
      <c r="M78" t="s">
        <v>87</v>
      </c>
      <c r="N78">
        <v>6</v>
      </c>
      <c r="O78" t="s">
        <v>27</v>
      </c>
      <c r="P78" t="s">
        <v>307</v>
      </c>
      <c r="T78" t="s">
        <v>122</v>
      </c>
      <c r="U78" t="s">
        <v>363</v>
      </c>
    </row>
    <row r="79" spans="1:21" x14ac:dyDescent="0.35">
      <c r="A79" t="s">
        <v>309</v>
      </c>
      <c r="B79" t="s">
        <v>309</v>
      </c>
      <c r="C79">
        <v>0</v>
      </c>
      <c r="D79">
        <v>1</v>
      </c>
      <c r="E79" t="str">
        <f t="shared" si="6"/>
        <v>Chill Cocktail Light Nho Thùng 24 Lon 320</v>
      </c>
      <c r="F79" t="s">
        <v>310</v>
      </c>
      <c r="G79" t="s">
        <v>81</v>
      </c>
      <c r="H79" t="s">
        <v>82</v>
      </c>
      <c r="I79" t="str">
        <f t="shared" si="7"/>
        <v>Chill Cocktail Light</v>
      </c>
      <c r="J79" t="s">
        <v>83</v>
      </c>
      <c r="K79">
        <v>320</v>
      </c>
      <c r="L79" t="s">
        <v>572</v>
      </c>
      <c r="M79" t="s">
        <v>87</v>
      </c>
      <c r="N79">
        <v>24</v>
      </c>
      <c r="O79" t="s">
        <v>27</v>
      </c>
      <c r="P79" t="s">
        <v>29</v>
      </c>
      <c r="T79" t="s">
        <v>122</v>
      </c>
      <c r="U79" t="s">
        <v>363</v>
      </c>
    </row>
    <row r="80" spans="1:21" x14ac:dyDescent="0.35">
      <c r="A80" t="s">
        <v>311</v>
      </c>
      <c r="B80" t="s">
        <v>311</v>
      </c>
      <c r="C80">
        <v>0</v>
      </c>
      <c r="D80">
        <v>1</v>
      </c>
      <c r="E80" t="str">
        <f t="shared" si="6"/>
        <v>Chill Cocktail Light Đào Thùng 24 Lon 330</v>
      </c>
      <c r="F80" t="s">
        <v>312</v>
      </c>
      <c r="G80" t="s">
        <v>81</v>
      </c>
      <c r="H80" t="s">
        <v>82</v>
      </c>
      <c r="I80" t="str">
        <f t="shared" si="7"/>
        <v>Chill Cocktail Light</v>
      </c>
      <c r="J80" t="s">
        <v>84</v>
      </c>
      <c r="K80">
        <v>330</v>
      </c>
      <c r="L80" t="s">
        <v>572</v>
      </c>
      <c r="M80" t="s">
        <v>154</v>
      </c>
      <c r="N80">
        <v>24</v>
      </c>
      <c r="O80" t="s">
        <v>27</v>
      </c>
      <c r="P80" t="s">
        <v>29</v>
      </c>
      <c r="T80" t="s">
        <v>122</v>
      </c>
      <c r="U80" t="s">
        <v>363</v>
      </c>
    </row>
    <row r="81" spans="1:21" x14ac:dyDescent="0.35">
      <c r="A81" t="s">
        <v>313</v>
      </c>
      <c r="B81" t="s">
        <v>313</v>
      </c>
      <c r="C81">
        <v>0</v>
      </c>
      <c r="D81">
        <v>1</v>
      </c>
      <c r="E81" t="str">
        <f t="shared" si="6"/>
        <v>Chill Cocktail Light Vải &amp; Hoa Hồng Thùng 24 Lon 330</v>
      </c>
      <c r="F81" t="s">
        <v>546</v>
      </c>
      <c r="G81" t="s">
        <v>81</v>
      </c>
      <c r="H81" t="s">
        <v>82</v>
      </c>
      <c r="I81" t="str">
        <f t="shared" si="7"/>
        <v>Chill Cocktail Light</v>
      </c>
      <c r="J81" t="s">
        <v>85</v>
      </c>
      <c r="K81">
        <v>330</v>
      </c>
      <c r="L81" t="s">
        <v>572</v>
      </c>
      <c r="M81" t="s">
        <v>154</v>
      </c>
      <c r="N81">
        <v>24</v>
      </c>
      <c r="O81" t="s">
        <v>27</v>
      </c>
      <c r="P81" t="s">
        <v>29</v>
      </c>
      <c r="T81" t="s">
        <v>122</v>
      </c>
      <c r="U81" t="s">
        <v>363</v>
      </c>
    </row>
    <row r="82" spans="1:21" x14ac:dyDescent="0.35">
      <c r="A82" t="s">
        <v>315</v>
      </c>
      <c r="B82" t="s">
        <v>315</v>
      </c>
      <c r="C82">
        <v>0</v>
      </c>
      <c r="D82">
        <v>1</v>
      </c>
      <c r="E82" t="str">
        <f t="shared" si="6"/>
        <v>Chill Cocktail Light Dâu Thùng 24 Lon 330</v>
      </c>
      <c r="F82" t="s">
        <v>316</v>
      </c>
      <c r="G82" t="s">
        <v>81</v>
      </c>
      <c r="H82" t="s">
        <v>82</v>
      </c>
      <c r="I82" t="str">
        <f t="shared" si="7"/>
        <v>Chill Cocktail Light</v>
      </c>
      <c r="J82" t="s">
        <v>24</v>
      </c>
      <c r="K82">
        <v>330</v>
      </c>
      <c r="L82" t="s">
        <v>572</v>
      </c>
      <c r="M82" t="s">
        <v>154</v>
      </c>
      <c r="N82">
        <v>24</v>
      </c>
      <c r="O82" t="s">
        <v>27</v>
      </c>
      <c r="P82" t="s">
        <v>29</v>
      </c>
      <c r="T82" t="s">
        <v>122</v>
      </c>
      <c r="U82" t="s">
        <v>363</v>
      </c>
    </row>
    <row r="83" spans="1:21" x14ac:dyDescent="0.35">
      <c r="A83" t="s">
        <v>317</v>
      </c>
      <c r="B83" t="s">
        <v>317</v>
      </c>
      <c r="C83">
        <v>0</v>
      </c>
      <c r="D83">
        <v>1</v>
      </c>
      <c r="E83" t="str">
        <f t="shared" si="6"/>
        <v>Chill Cocktail Light Cam Thùng 24 Lon 330</v>
      </c>
      <c r="F83" t="s">
        <v>318</v>
      </c>
      <c r="G83" t="s">
        <v>81</v>
      </c>
      <c r="H83" t="s">
        <v>82</v>
      </c>
      <c r="I83" t="str">
        <f t="shared" si="7"/>
        <v>Chill Cocktail Light</v>
      </c>
      <c r="J83" t="s">
        <v>166</v>
      </c>
      <c r="K83">
        <v>330</v>
      </c>
      <c r="L83" t="s">
        <v>572</v>
      </c>
      <c r="M83" t="s">
        <v>154</v>
      </c>
      <c r="N83">
        <v>24</v>
      </c>
      <c r="O83" t="s">
        <v>27</v>
      </c>
      <c r="P83" t="s">
        <v>29</v>
      </c>
      <c r="T83" t="s">
        <v>122</v>
      </c>
      <c r="U83" t="s">
        <v>363</v>
      </c>
    </row>
    <row r="84" spans="1:21" x14ac:dyDescent="0.35">
      <c r="A84" t="s">
        <v>319</v>
      </c>
      <c r="B84" t="s">
        <v>319</v>
      </c>
      <c r="C84">
        <v>0</v>
      </c>
      <c r="D84">
        <v>1</v>
      </c>
      <c r="E84" t="str">
        <f t="shared" si="6"/>
        <v>Chill Cocktail Mix Thùng 6 Lon 330</v>
      </c>
      <c r="F84" t="s">
        <v>320</v>
      </c>
      <c r="G84" t="s">
        <v>81</v>
      </c>
      <c r="H84" t="s">
        <v>35</v>
      </c>
      <c r="I84" t="str">
        <f t="shared" si="7"/>
        <v>Chill Cocktail Mix</v>
      </c>
      <c r="K84">
        <v>330</v>
      </c>
      <c r="L84" t="s">
        <v>572</v>
      </c>
      <c r="M84" t="s">
        <v>154</v>
      </c>
      <c r="N84">
        <v>6</v>
      </c>
      <c r="O84" t="s">
        <v>27</v>
      </c>
      <c r="P84" t="s">
        <v>29</v>
      </c>
      <c r="T84" t="s">
        <v>122</v>
      </c>
      <c r="U84" t="s">
        <v>363</v>
      </c>
    </row>
    <row r="85" spans="1:21" x14ac:dyDescent="0.35">
      <c r="A85" t="s">
        <v>321</v>
      </c>
      <c r="B85" t="s">
        <v>321</v>
      </c>
      <c r="C85">
        <v>0</v>
      </c>
      <c r="D85">
        <v>1</v>
      </c>
      <c r="E85" t="str">
        <f t="shared" si="6"/>
        <v>Chill Cocktail Mix Thùng 6 Lon 330</v>
      </c>
      <c r="F85" t="s">
        <v>322</v>
      </c>
      <c r="G85" t="s">
        <v>81</v>
      </c>
      <c r="H85" t="s">
        <v>35</v>
      </c>
      <c r="I85" t="str">
        <f t="shared" si="7"/>
        <v>Chill Cocktail Mix</v>
      </c>
      <c r="K85">
        <v>330</v>
      </c>
      <c r="L85" t="s">
        <v>572</v>
      </c>
      <c r="M85" t="s">
        <v>154</v>
      </c>
      <c r="N85">
        <v>6</v>
      </c>
      <c r="O85" t="s">
        <v>27</v>
      </c>
      <c r="P85" t="s">
        <v>29</v>
      </c>
      <c r="T85" t="s">
        <v>122</v>
      </c>
      <c r="U85" t="s">
        <v>363</v>
      </c>
    </row>
    <row r="86" spans="1:21" x14ac:dyDescent="0.35">
      <c r="A86" t="s">
        <v>323</v>
      </c>
      <c r="B86" t="s">
        <v>323</v>
      </c>
      <c r="C86">
        <v>0</v>
      </c>
      <c r="D86">
        <v>1</v>
      </c>
      <c r="E86" t="str">
        <f t="shared" si="6"/>
        <v>Chill Cocktail Light Vải &amp; Hoa Hồng Thùng 24 Lon 320</v>
      </c>
      <c r="F86" t="s">
        <v>546</v>
      </c>
      <c r="G86" t="s">
        <v>81</v>
      </c>
      <c r="H86" t="s">
        <v>82</v>
      </c>
      <c r="I86" t="str">
        <f t="shared" si="7"/>
        <v>Chill Cocktail Light</v>
      </c>
      <c r="J86" t="s">
        <v>85</v>
      </c>
      <c r="K86">
        <v>320</v>
      </c>
      <c r="L86" t="s">
        <v>572</v>
      </c>
      <c r="M86" t="s">
        <v>87</v>
      </c>
      <c r="N86">
        <v>24</v>
      </c>
      <c r="O86" t="s">
        <v>27</v>
      </c>
      <c r="P86" t="s">
        <v>29</v>
      </c>
      <c r="T86" t="s">
        <v>122</v>
      </c>
      <c r="U86" t="s">
        <v>363</v>
      </c>
    </row>
    <row r="87" spans="1:21" x14ac:dyDescent="0.35">
      <c r="A87" t="s">
        <v>325</v>
      </c>
      <c r="B87" t="s">
        <v>325</v>
      </c>
      <c r="C87">
        <v>0</v>
      </c>
      <c r="D87">
        <v>1</v>
      </c>
      <c r="E87" t="str">
        <f t="shared" si="6"/>
        <v>Chill Cocktail Light Việt Quất Thùng 24 Lon 320</v>
      </c>
      <c r="F87" t="s">
        <v>324</v>
      </c>
      <c r="G87" t="s">
        <v>81</v>
      </c>
      <c r="H87" t="s">
        <v>82</v>
      </c>
      <c r="I87" t="str">
        <f t="shared" si="7"/>
        <v>Chill Cocktail Light</v>
      </c>
      <c r="J87" t="s">
        <v>20</v>
      </c>
      <c r="K87">
        <v>320</v>
      </c>
      <c r="L87" t="s">
        <v>572</v>
      </c>
      <c r="M87" t="s">
        <v>87</v>
      </c>
      <c r="N87">
        <v>24</v>
      </c>
      <c r="O87" t="s">
        <v>27</v>
      </c>
      <c r="P87" t="s">
        <v>29</v>
      </c>
      <c r="T87" t="s">
        <v>122</v>
      </c>
      <c r="U87" t="s">
        <v>363</v>
      </c>
    </row>
    <row r="88" spans="1:21" x14ac:dyDescent="0.35">
      <c r="A88" t="s">
        <v>326</v>
      </c>
      <c r="B88" t="s">
        <v>326</v>
      </c>
      <c r="C88">
        <v>0</v>
      </c>
      <c r="D88">
        <v>1</v>
      </c>
      <c r="E88" t="str">
        <f t="shared" si="6"/>
        <v>Chill Cocktail Orginal Vodka Đào Thùng 24 Chai 275</v>
      </c>
      <c r="F88" t="s">
        <v>327</v>
      </c>
      <c r="G88" t="s">
        <v>81</v>
      </c>
      <c r="H88" t="s">
        <v>14</v>
      </c>
      <c r="I88" t="str">
        <f t="shared" si="7"/>
        <v>Chill Cocktail Orginal</v>
      </c>
      <c r="J88" t="s">
        <v>222</v>
      </c>
      <c r="K88">
        <v>275</v>
      </c>
      <c r="L88" t="s">
        <v>572</v>
      </c>
      <c r="M88" t="s">
        <v>328</v>
      </c>
      <c r="N88">
        <v>24</v>
      </c>
      <c r="O88" t="s">
        <v>37</v>
      </c>
      <c r="P88" t="s">
        <v>29</v>
      </c>
      <c r="T88" t="s">
        <v>122</v>
      </c>
      <c r="U88" t="s">
        <v>363</v>
      </c>
    </row>
    <row r="89" spans="1:21" x14ac:dyDescent="0.35">
      <c r="A89" t="s">
        <v>329</v>
      </c>
      <c r="B89" t="s">
        <v>329</v>
      </c>
      <c r="C89">
        <v>0</v>
      </c>
      <c r="D89">
        <v>1</v>
      </c>
      <c r="E89" t="str">
        <f t="shared" si="6"/>
        <v>Chill Cocktail Orginal Đào Thùng 24 Chai 275</v>
      </c>
      <c r="F89" t="s">
        <v>330</v>
      </c>
      <c r="G89" t="s">
        <v>81</v>
      </c>
      <c r="H89" t="s">
        <v>14</v>
      </c>
      <c r="I89" t="str">
        <f t="shared" si="7"/>
        <v>Chill Cocktail Orginal</v>
      </c>
      <c r="J89" t="s">
        <v>84</v>
      </c>
      <c r="K89">
        <v>275</v>
      </c>
      <c r="L89" t="s">
        <v>572</v>
      </c>
      <c r="M89" t="s">
        <v>328</v>
      </c>
      <c r="N89">
        <v>24</v>
      </c>
      <c r="O89" t="s">
        <v>37</v>
      </c>
      <c r="P89" t="s">
        <v>29</v>
      </c>
      <c r="T89" t="s">
        <v>122</v>
      </c>
      <c r="U89" t="s">
        <v>363</v>
      </c>
    </row>
    <row r="90" spans="1:21" x14ac:dyDescent="0.35">
      <c r="A90" t="s">
        <v>331</v>
      </c>
      <c r="B90" t="s">
        <v>331</v>
      </c>
      <c r="C90">
        <v>0</v>
      </c>
      <c r="D90">
        <v>1</v>
      </c>
      <c r="E90" t="str">
        <f t="shared" si="6"/>
        <v>Chill Cocktail Orginal Vải &amp; Hoa Hồng Thùng 24 Chai 275</v>
      </c>
      <c r="F90" t="s">
        <v>332</v>
      </c>
      <c r="G90" t="s">
        <v>81</v>
      </c>
      <c r="H90" t="s">
        <v>14</v>
      </c>
      <c r="I90" t="str">
        <f t="shared" si="7"/>
        <v>Chill Cocktail Orginal</v>
      </c>
      <c r="J90" t="s">
        <v>85</v>
      </c>
      <c r="K90">
        <v>275</v>
      </c>
      <c r="L90" t="s">
        <v>572</v>
      </c>
      <c r="M90" t="s">
        <v>328</v>
      </c>
      <c r="N90">
        <v>24</v>
      </c>
      <c r="O90" t="s">
        <v>37</v>
      </c>
      <c r="P90" t="s">
        <v>29</v>
      </c>
      <c r="T90" t="s">
        <v>122</v>
      </c>
      <c r="U90" t="s">
        <v>363</v>
      </c>
    </row>
    <row r="91" spans="1:21" x14ac:dyDescent="0.35">
      <c r="A91" t="s">
        <v>333</v>
      </c>
      <c r="B91" t="s">
        <v>333</v>
      </c>
      <c r="C91">
        <v>0</v>
      </c>
      <c r="D91">
        <v>1</v>
      </c>
      <c r="E91" t="str">
        <f t="shared" si="6"/>
        <v>Chill Cocktail Orginal Việt Quất Thùng 24 Chai 275</v>
      </c>
      <c r="F91" t="s">
        <v>334</v>
      </c>
      <c r="G91" t="s">
        <v>81</v>
      </c>
      <c r="H91" t="s">
        <v>14</v>
      </c>
      <c r="I91" t="str">
        <f t="shared" si="7"/>
        <v>Chill Cocktail Orginal</v>
      </c>
      <c r="J91" t="s">
        <v>20</v>
      </c>
      <c r="K91">
        <v>275</v>
      </c>
      <c r="L91" t="s">
        <v>572</v>
      </c>
      <c r="M91" t="s">
        <v>328</v>
      </c>
      <c r="N91">
        <v>24</v>
      </c>
      <c r="O91" t="s">
        <v>37</v>
      </c>
      <c r="P91" t="s">
        <v>29</v>
      </c>
      <c r="T91" t="s">
        <v>122</v>
      </c>
      <c r="U91" t="s">
        <v>363</v>
      </c>
    </row>
    <row r="92" spans="1:21" x14ac:dyDescent="0.35">
      <c r="A92" t="s">
        <v>335</v>
      </c>
      <c r="B92" t="s">
        <v>335</v>
      </c>
      <c r="C92">
        <v>0</v>
      </c>
      <c r="D92">
        <v>1</v>
      </c>
      <c r="E92" t="str">
        <f t="shared" si="6"/>
        <v>Chill Cocktail Mix Hộp 6 Chai 275</v>
      </c>
      <c r="F92" t="s">
        <v>336</v>
      </c>
      <c r="G92" t="s">
        <v>81</v>
      </c>
      <c r="H92" t="s">
        <v>35</v>
      </c>
      <c r="I92" t="str">
        <f t="shared" si="7"/>
        <v>Chill Cocktail Mix</v>
      </c>
      <c r="K92">
        <v>275</v>
      </c>
      <c r="L92" t="s">
        <v>572</v>
      </c>
      <c r="M92" t="s">
        <v>328</v>
      </c>
      <c r="N92">
        <v>6</v>
      </c>
      <c r="O92" t="s">
        <v>37</v>
      </c>
      <c r="P92" t="s">
        <v>44</v>
      </c>
      <c r="T92" t="s">
        <v>122</v>
      </c>
      <c r="U92" t="s">
        <v>363</v>
      </c>
    </row>
    <row r="93" spans="1:21" x14ac:dyDescent="0.35">
      <c r="A93" t="s">
        <v>337</v>
      </c>
      <c r="B93" t="s">
        <v>337</v>
      </c>
      <c r="C93">
        <v>0</v>
      </c>
      <c r="D93">
        <v>1</v>
      </c>
      <c r="E93" t="str">
        <f t="shared" si="6"/>
        <v>Chill Cocktail Mix Hộp 3 Lon 250</v>
      </c>
      <c r="F93" t="s">
        <v>338</v>
      </c>
      <c r="G93" t="s">
        <v>81</v>
      </c>
      <c r="H93" t="s">
        <v>35</v>
      </c>
      <c r="I93" t="str">
        <f t="shared" si="7"/>
        <v>Chill Cocktail Mix</v>
      </c>
      <c r="K93">
        <v>250</v>
      </c>
      <c r="L93" t="s">
        <v>572</v>
      </c>
      <c r="M93" t="s">
        <v>17</v>
      </c>
      <c r="N93">
        <v>3</v>
      </c>
      <c r="O93" t="s">
        <v>27</v>
      </c>
      <c r="P93" t="s">
        <v>44</v>
      </c>
      <c r="T93" t="s">
        <v>122</v>
      </c>
      <c r="U93" t="s">
        <v>363</v>
      </c>
    </row>
    <row r="94" spans="1:21" x14ac:dyDescent="0.35">
      <c r="A94" t="s">
        <v>339</v>
      </c>
      <c r="B94" t="s">
        <v>339</v>
      </c>
      <c r="C94">
        <v>0</v>
      </c>
      <c r="D94">
        <v>1</v>
      </c>
      <c r="E94" t="str">
        <f t="shared" si="6"/>
        <v>Chill Cocktail Sakura Dưa Hấu Lon 330</v>
      </c>
      <c r="F94" t="s">
        <v>340</v>
      </c>
      <c r="G94" t="s">
        <v>81</v>
      </c>
      <c r="H94" t="s">
        <v>112</v>
      </c>
      <c r="I94" t="str">
        <f t="shared" si="7"/>
        <v>Chill Cocktail Sakura</v>
      </c>
      <c r="J94" t="s">
        <v>182</v>
      </c>
      <c r="K94">
        <v>330</v>
      </c>
      <c r="L94" t="s">
        <v>572</v>
      </c>
      <c r="M94" t="s">
        <v>154</v>
      </c>
      <c r="N94">
        <v>1</v>
      </c>
      <c r="O94" t="s">
        <v>27</v>
      </c>
      <c r="T94" t="s">
        <v>122</v>
      </c>
      <c r="U94" t="s">
        <v>363</v>
      </c>
    </row>
    <row r="95" spans="1:21" x14ac:dyDescent="0.35">
      <c r="A95" t="s">
        <v>341</v>
      </c>
      <c r="B95" t="s">
        <v>341</v>
      </c>
      <c r="C95">
        <v>0</v>
      </c>
      <c r="D95">
        <v>1</v>
      </c>
      <c r="E95" t="str">
        <f t="shared" si="6"/>
        <v>Chill Cocktail Sakura Vải Sake Lon 330</v>
      </c>
      <c r="F95" t="s">
        <v>342</v>
      </c>
      <c r="G95" t="s">
        <v>81</v>
      </c>
      <c r="H95" t="s">
        <v>112</v>
      </c>
      <c r="I95" t="str">
        <f t="shared" si="7"/>
        <v>Chill Cocktail Sakura</v>
      </c>
      <c r="J95" t="s">
        <v>114</v>
      </c>
      <c r="K95">
        <v>330</v>
      </c>
      <c r="L95" t="s">
        <v>572</v>
      </c>
      <c r="M95" t="s">
        <v>154</v>
      </c>
      <c r="N95">
        <v>1</v>
      </c>
      <c r="O95" t="s">
        <v>27</v>
      </c>
      <c r="T95" t="s">
        <v>122</v>
      </c>
      <c r="U95" t="s">
        <v>363</v>
      </c>
    </row>
    <row r="96" spans="1:21" x14ac:dyDescent="0.35">
      <c r="A96" t="s">
        <v>343</v>
      </c>
      <c r="B96" t="s">
        <v>343</v>
      </c>
      <c r="C96">
        <v>0</v>
      </c>
      <c r="D96">
        <v>1</v>
      </c>
      <c r="E96" t="str">
        <f t="shared" si="6"/>
        <v>Chill Cocktail Sakura Cam Yuzu Thùng 12 Lon 250</v>
      </c>
      <c r="F96" t="s">
        <v>344</v>
      </c>
      <c r="G96" t="s">
        <v>81</v>
      </c>
      <c r="H96" t="s">
        <v>112</v>
      </c>
      <c r="I96" t="str">
        <f t="shared" si="7"/>
        <v>Chill Cocktail Sakura</v>
      </c>
      <c r="J96" t="s">
        <v>22</v>
      </c>
      <c r="K96">
        <v>250</v>
      </c>
      <c r="L96" t="s">
        <v>572</v>
      </c>
      <c r="M96" t="s">
        <v>17</v>
      </c>
      <c r="N96">
        <v>12</v>
      </c>
      <c r="O96" t="s">
        <v>27</v>
      </c>
      <c r="P96" t="s">
        <v>29</v>
      </c>
      <c r="T96" t="s">
        <v>122</v>
      </c>
      <c r="U96" t="s">
        <v>363</v>
      </c>
    </row>
    <row r="97" spans="1:21" x14ac:dyDescent="0.35">
      <c r="A97" t="s">
        <v>345</v>
      </c>
      <c r="B97" t="s">
        <v>345</v>
      </c>
      <c r="C97">
        <v>0</v>
      </c>
      <c r="D97">
        <v>1</v>
      </c>
      <c r="E97" t="str">
        <f t="shared" si="6"/>
        <v>Chill Cocktail Sakura Dưa Hấu Thùng 6 Lon 330</v>
      </c>
      <c r="F97" t="s">
        <v>346</v>
      </c>
      <c r="G97" t="s">
        <v>81</v>
      </c>
      <c r="H97" t="s">
        <v>112</v>
      </c>
      <c r="I97" t="str">
        <f t="shared" si="7"/>
        <v>Chill Cocktail Sakura</v>
      </c>
      <c r="J97" t="s">
        <v>182</v>
      </c>
      <c r="K97">
        <v>330</v>
      </c>
      <c r="L97" t="s">
        <v>572</v>
      </c>
      <c r="M97" t="s">
        <v>154</v>
      </c>
      <c r="N97">
        <v>6</v>
      </c>
      <c r="O97" t="s">
        <v>27</v>
      </c>
      <c r="P97" t="s">
        <v>29</v>
      </c>
      <c r="T97" t="s">
        <v>122</v>
      </c>
      <c r="U97" t="s">
        <v>363</v>
      </c>
    </row>
    <row r="98" spans="1:21" x14ac:dyDescent="0.35">
      <c r="A98" t="s">
        <v>347</v>
      </c>
      <c r="B98" t="s">
        <v>347</v>
      </c>
      <c r="C98">
        <v>0</v>
      </c>
      <c r="D98">
        <v>1</v>
      </c>
      <c r="E98" t="str">
        <f t="shared" si="6"/>
        <v>Chill Cocktail Sakura Vải Sake Thùng 6 Lon 330</v>
      </c>
      <c r="F98" t="s">
        <v>348</v>
      </c>
      <c r="G98" t="s">
        <v>81</v>
      </c>
      <c r="H98" t="s">
        <v>112</v>
      </c>
      <c r="I98" t="str">
        <f t="shared" si="7"/>
        <v>Chill Cocktail Sakura</v>
      </c>
      <c r="J98" t="s">
        <v>114</v>
      </c>
      <c r="K98">
        <v>330</v>
      </c>
      <c r="L98" t="s">
        <v>572</v>
      </c>
      <c r="M98" t="s">
        <v>154</v>
      </c>
      <c r="N98">
        <v>6</v>
      </c>
      <c r="O98" t="s">
        <v>27</v>
      </c>
      <c r="P98" t="s">
        <v>29</v>
      </c>
      <c r="T98" t="s">
        <v>122</v>
      </c>
      <c r="U98" t="s">
        <v>363</v>
      </c>
    </row>
    <row r="99" spans="1:21" x14ac:dyDescent="0.35">
      <c r="A99" t="s">
        <v>349</v>
      </c>
      <c r="B99" t="s">
        <v>349</v>
      </c>
      <c r="C99">
        <v>0</v>
      </c>
      <c r="D99">
        <v>1</v>
      </c>
      <c r="E99" t="str">
        <f t="shared" si="6"/>
        <v>Chill Cocktail Strong Bưởi Thùng 24 Lon 330</v>
      </c>
      <c r="F99" t="s">
        <v>350</v>
      </c>
      <c r="G99" t="s">
        <v>81</v>
      </c>
      <c r="H99" t="s">
        <v>351</v>
      </c>
      <c r="I99" t="str">
        <f t="shared" si="7"/>
        <v>Chill Cocktail Strong</v>
      </c>
      <c r="J99" t="s">
        <v>352</v>
      </c>
      <c r="K99">
        <v>330</v>
      </c>
      <c r="L99" t="s">
        <v>572</v>
      </c>
      <c r="M99" t="s">
        <v>154</v>
      </c>
      <c r="N99">
        <v>24</v>
      </c>
      <c r="O99" t="s">
        <v>27</v>
      </c>
      <c r="P99" t="s">
        <v>29</v>
      </c>
      <c r="T99" t="s">
        <v>122</v>
      </c>
      <c r="U99" t="s">
        <v>363</v>
      </c>
    </row>
    <row r="100" spans="1:21" x14ac:dyDescent="0.35">
      <c r="A100" t="s">
        <v>353</v>
      </c>
      <c r="B100" t="s">
        <v>353</v>
      </c>
      <c r="C100">
        <v>0</v>
      </c>
      <c r="D100">
        <v>1</v>
      </c>
      <c r="E100" t="str">
        <f t="shared" si="6"/>
        <v>Chill Cocktail Strong Chanh Thùng 24 Lon 330</v>
      </c>
      <c r="F100" t="s">
        <v>354</v>
      </c>
      <c r="G100" t="s">
        <v>81</v>
      </c>
      <c r="H100" t="s">
        <v>351</v>
      </c>
      <c r="I100" t="str">
        <f t="shared" si="7"/>
        <v>Chill Cocktail Strong</v>
      </c>
      <c r="J100" t="s">
        <v>167</v>
      </c>
      <c r="K100">
        <v>330</v>
      </c>
      <c r="L100" t="s">
        <v>572</v>
      </c>
      <c r="M100" t="s">
        <v>154</v>
      </c>
      <c r="N100">
        <v>24</v>
      </c>
      <c r="O100" t="s">
        <v>27</v>
      </c>
      <c r="P100" t="s">
        <v>29</v>
      </c>
      <c r="T100" t="s">
        <v>122</v>
      </c>
      <c r="U100" t="s">
        <v>363</v>
      </c>
    </row>
    <row r="101" spans="1:21" x14ac:dyDescent="0.35">
      <c r="A101" t="s">
        <v>549</v>
      </c>
      <c r="B101" t="s">
        <v>548</v>
      </c>
      <c r="C101">
        <v>1</v>
      </c>
      <c r="D101">
        <v>1</v>
      </c>
      <c r="E101" t="str">
        <f t="shared" si="6"/>
        <v>Star Kombucha Orginal Artiso Đỏ Lon 250</v>
      </c>
      <c r="G101" t="s">
        <v>8</v>
      </c>
      <c r="H101" t="s">
        <v>14</v>
      </c>
      <c r="I101" t="str">
        <f t="shared" si="7"/>
        <v>Star Kombucha Orginal</v>
      </c>
      <c r="J101" t="s">
        <v>500</v>
      </c>
      <c r="K101">
        <v>250</v>
      </c>
      <c r="L101" t="s">
        <v>572</v>
      </c>
      <c r="M101" t="s">
        <v>17</v>
      </c>
      <c r="N101">
        <v>12</v>
      </c>
      <c r="O101" t="s">
        <v>27</v>
      </c>
      <c r="T101" t="s">
        <v>122</v>
      </c>
      <c r="U101" t="s">
        <v>363</v>
      </c>
    </row>
    <row r="102" spans="1:21" x14ac:dyDescent="0.35">
      <c r="A102" t="s">
        <v>517</v>
      </c>
      <c r="B102" t="s">
        <v>516</v>
      </c>
      <c r="C102">
        <v>1</v>
      </c>
      <c r="D102">
        <v>1</v>
      </c>
      <c r="E102" t="str">
        <f t="shared" si="6"/>
        <v>Star Kombucha Orginal Việt Quất Lon 250</v>
      </c>
      <c r="G102" t="s">
        <v>8</v>
      </c>
      <c r="H102" t="s">
        <v>14</v>
      </c>
      <c r="I102" t="str">
        <f t="shared" si="7"/>
        <v>Star Kombucha Orginal</v>
      </c>
      <c r="J102" t="s">
        <v>20</v>
      </c>
      <c r="K102">
        <v>250</v>
      </c>
      <c r="L102" t="s">
        <v>572</v>
      </c>
      <c r="M102" t="s">
        <v>17</v>
      </c>
      <c r="N102">
        <v>12</v>
      </c>
      <c r="O102" t="s">
        <v>27</v>
      </c>
      <c r="T102" t="s">
        <v>122</v>
      </c>
      <c r="U102" t="s">
        <v>363</v>
      </c>
    </row>
    <row r="103" spans="1:21" x14ac:dyDescent="0.35">
      <c r="A103" t="s">
        <v>518</v>
      </c>
      <c r="B103" t="s">
        <v>514</v>
      </c>
      <c r="C103">
        <v>1</v>
      </c>
      <c r="D103">
        <v>1</v>
      </c>
      <c r="E103" t="str">
        <f t="shared" si="6"/>
        <v>Star Kombucha Orginal Chanh Dây Lon 250</v>
      </c>
      <c r="G103" t="s">
        <v>8</v>
      </c>
      <c r="H103" t="s">
        <v>14</v>
      </c>
      <c r="I103" t="str">
        <f t="shared" si="7"/>
        <v>Star Kombucha Orginal</v>
      </c>
      <c r="J103" t="s">
        <v>501</v>
      </c>
      <c r="K103">
        <v>250</v>
      </c>
      <c r="L103" t="s">
        <v>572</v>
      </c>
      <c r="M103" t="s">
        <v>17</v>
      </c>
      <c r="N103">
        <v>12</v>
      </c>
      <c r="O103" t="s">
        <v>27</v>
      </c>
      <c r="T103" t="s">
        <v>122</v>
      </c>
      <c r="U103" t="s">
        <v>363</v>
      </c>
    </row>
    <row r="104" spans="1:21" x14ac:dyDescent="0.35">
      <c r="A104" t="s">
        <v>555</v>
      </c>
      <c r="B104" t="s">
        <v>554</v>
      </c>
      <c r="C104">
        <v>1</v>
      </c>
      <c r="D104">
        <v>1</v>
      </c>
      <c r="E104" t="str">
        <f t="shared" si="6"/>
        <v>Star Kombucha Orginal Mơ Lon 250</v>
      </c>
      <c r="G104" t="s">
        <v>8</v>
      </c>
      <c r="H104" t="s">
        <v>14</v>
      </c>
      <c r="I104" t="str">
        <f t="shared" si="7"/>
        <v>Star Kombucha Orginal</v>
      </c>
      <c r="J104" t="s">
        <v>502</v>
      </c>
      <c r="K104">
        <v>250</v>
      </c>
      <c r="L104" t="s">
        <v>572</v>
      </c>
      <c r="M104" t="s">
        <v>17</v>
      </c>
      <c r="N104">
        <v>12</v>
      </c>
      <c r="O104" t="s">
        <v>27</v>
      </c>
      <c r="T104" t="s">
        <v>122</v>
      </c>
      <c r="U104" t="s">
        <v>363</v>
      </c>
    </row>
    <row r="105" spans="1:21" x14ac:dyDescent="0.35">
      <c r="A105" t="s">
        <v>552</v>
      </c>
      <c r="B105" t="s">
        <v>551</v>
      </c>
      <c r="C105">
        <v>1</v>
      </c>
      <c r="D105">
        <v>1</v>
      </c>
      <c r="E105" t="str">
        <f t="shared" si="6"/>
        <v>Star Kombucha Orginal Cam Yuzu Lon 250</v>
      </c>
      <c r="G105" t="s">
        <v>8</v>
      </c>
      <c r="H105" t="s">
        <v>14</v>
      </c>
      <c r="I105" t="str">
        <f t="shared" si="7"/>
        <v>Star Kombucha Orginal</v>
      </c>
      <c r="J105" t="s">
        <v>22</v>
      </c>
      <c r="K105">
        <v>250</v>
      </c>
      <c r="L105" t="s">
        <v>572</v>
      </c>
      <c r="M105" t="s">
        <v>17</v>
      </c>
      <c r="N105">
        <v>12</v>
      </c>
      <c r="O105" t="s">
        <v>27</v>
      </c>
      <c r="T105" t="s">
        <v>122</v>
      </c>
      <c r="U105" t="s">
        <v>363</v>
      </c>
    </row>
    <row r="106" spans="1:21" x14ac:dyDescent="0.35">
      <c r="A106" t="s">
        <v>516</v>
      </c>
      <c r="B106" t="s">
        <v>516</v>
      </c>
      <c r="C106">
        <v>0</v>
      </c>
      <c r="D106">
        <v>1</v>
      </c>
      <c r="E106" t="str">
        <f t="shared" si="6"/>
        <v>Star Kombucha Orginal Việt Quất Thùng 12 Lon 250</v>
      </c>
      <c r="F106" t="s">
        <v>519</v>
      </c>
      <c r="G106" t="s">
        <v>8</v>
      </c>
      <c r="H106" t="s">
        <v>14</v>
      </c>
      <c r="I106" t="str">
        <f t="shared" ref="I106:I127" si="8">G106&amp;" "&amp;H106</f>
        <v>Star Kombucha Orginal</v>
      </c>
      <c r="J106" t="s">
        <v>20</v>
      </c>
      <c r="K106">
        <v>250</v>
      </c>
      <c r="L106" t="s">
        <v>572</v>
      </c>
      <c r="M106" t="s">
        <v>17</v>
      </c>
      <c r="N106">
        <v>12</v>
      </c>
      <c r="O106" t="s">
        <v>27</v>
      </c>
      <c r="P106" t="s">
        <v>29</v>
      </c>
      <c r="T106" t="s">
        <v>122</v>
      </c>
      <c r="U106" t="s">
        <v>363</v>
      </c>
    </row>
    <row r="107" spans="1:21" x14ac:dyDescent="0.35">
      <c r="A107" t="s">
        <v>514</v>
      </c>
      <c r="B107" t="s">
        <v>514</v>
      </c>
      <c r="C107">
        <v>0</v>
      </c>
      <c r="D107">
        <v>1</v>
      </c>
      <c r="E107" t="str">
        <f t="shared" ref="E107" si="9">_xlfn.CONCAT(I107,IF(J107="",""," "&amp;J107),IF(P107="",""," "&amp;P107&amp;" "&amp;N107)," "&amp;O107," "&amp;K107)</f>
        <v>Star Kombucha Orginal Chanh Dây Thùng 12 Lon 250</v>
      </c>
      <c r="F107" t="s">
        <v>515</v>
      </c>
      <c r="G107" t="s">
        <v>8</v>
      </c>
      <c r="H107" t="s">
        <v>14</v>
      </c>
      <c r="I107" t="str">
        <f t="shared" si="8"/>
        <v>Star Kombucha Orginal</v>
      </c>
      <c r="J107" t="s">
        <v>501</v>
      </c>
      <c r="K107">
        <v>250</v>
      </c>
      <c r="L107" t="s">
        <v>572</v>
      </c>
      <c r="M107" t="s">
        <v>17</v>
      </c>
      <c r="N107">
        <v>12</v>
      </c>
      <c r="O107" t="s">
        <v>27</v>
      </c>
      <c r="P107" t="s">
        <v>29</v>
      </c>
      <c r="T107" t="s">
        <v>122</v>
      </c>
      <c r="U107" t="s">
        <v>363</v>
      </c>
    </row>
    <row r="108" spans="1:21" x14ac:dyDescent="0.35">
      <c r="A108" t="s">
        <v>520</v>
      </c>
      <c r="B108" t="s">
        <v>520</v>
      </c>
      <c r="C108">
        <v>0</v>
      </c>
      <c r="D108">
        <v>1</v>
      </c>
      <c r="E108" t="str">
        <f t="shared" ref="E108:E127" si="10">_xlfn.CONCAT(I108,IF(J108="",""," "&amp;J108),IF(P108="",""," "&amp;P108&amp;" "&amp;N108)," "&amp;O108," "&amp;K108)</f>
        <v>Star Kombucha Orginal Cam Đào Khay 30 Lon 250</v>
      </c>
      <c r="F108" t="s">
        <v>521</v>
      </c>
      <c r="G108" t="s">
        <v>8</v>
      </c>
      <c r="H108" t="s">
        <v>14</v>
      </c>
      <c r="I108" t="str">
        <f t="shared" si="8"/>
        <v>Star Kombucha Orginal</v>
      </c>
      <c r="J108" t="s">
        <v>25</v>
      </c>
      <c r="K108">
        <v>250</v>
      </c>
      <c r="L108" t="s">
        <v>572</v>
      </c>
      <c r="M108" t="s">
        <v>17</v>
      </c>
      <c r="N108">
        <v>30</v>
      </c>
      <c r="O108" t="s">
        <v>27</v>
      </c>
      <c r="P108" t="s">
        <v>43</v>
      </c>
      <c r="T108" t="s">
        <v>122</v>
      </c>
      <c r="U108" t="s">
        <v>363</v>
      </c>
    </row>
    <row r="109" spans="1:21" x14ac:dyDescent="0.35">
      <c r="A109" t="s">
        <v>522</v>
      </c>
      <c r="B109" t="s">
        <v>522</v>
      </c>
      <c r="C109">
        <v>0</v>
      </c>
      <c r="D109">
        <v>1</v>
      </c>
      <c r="E109" t="str">
        <f t="shared" si="10"/>
        <v>Star Kombucha Orginal Việt Quất Khay 30 Lon 250</v>
      </c>
      <c r="F109" t="s">
        <v>523</v>
      </c>
      <c r="G109" t="s">
        <v>8</v>
      </c>
      <c r="H109" t="s">
        <v>14</v>
      </c>
      <c r="I109" t="str">
        <f t="shared" si="8"/>
        <v>Star Kombucha Orginal</v>
      </c>
      <c r="J109" t="s">
        <v>20</v>
      </c>
      <c r="K109">
        <v>250</v>
      </c>
      <c r="L109" t="s">
        <v>572</v>
      </c>
      <c r="M109" t="s">
        <v>17</v>
      </c>
      <c r="N109">
        <v>30</v>
      </c>
      <c r="O109" t="s">
        <v>27</v>
      </c>
      <c r="P109" t="s">
        <v>43</v>
      </c>
      <c r="T109" t="s">
        <v>122</v>
      </c>
      <c r="U109" t="s">
        <v>363</v>
      </c>
    </row>
    <row r="110" spans="1:21" x14ac:dyDescent="0.35">
      <c r="A110" t="s">
        <v>524</v>
      </c>
      <c r="B110" t="s">
        <v>524</v>
      </c>
      <c r="C110">
        <v>0</v>
      </c>
      <c r="D110">
        <v>1</v>
      </c>
      <c r="E110" t="str">
        <f t="shared" si="10"/>
        <v>Star Kombucha Orginal Lựu Đỏ Khay 30 Lon 250</v>
      </c>
      <c r="F110" t="s">
        <v>525</v>
      </c>
      <c r="G110" t="s">
        <v>8</v>
      </c>
      <c r="H110" t="s">
        <v>14</v>
      </c>
      <c r="I110" t="str">
        <f t="shared" si="8"/>
        <v>Star Kombucha Orginal</v>
      </c>
      <c r="J110" t="s">
        <v>18</v>
      </c>
      <c r="K110">
        <v>250</v>
      </c>
      <c r="L110" t="s">
        <v>572</v>
      </c>
      <c r="M110" t="s">
        <v>17</v>
      </c>
      <c r="N110">
        <v>30</v>
      </c>
      <c r="O110" t="s">
        <v>27</v>
      </c>
      <c r="P110" t="s">
        <v>43</v>
      </c>
      <c r="T110" t="s">
        <v>122</v>
      </c>
      <c r="U110" t="s">
        <v>363</v>
      </c>
    </row>
    <row r="111" spans="1:21" x14ac:dyDescent="0.35">
      <c r="A111" t="s">
        <v>526</v>
      </c>
      <c r="B111" t="s">
        <v>526</v>
      </c>
      <c r="C111">
        <v>0</v>
      </c>
      <c r="D111">
        <v>1</v>
      </c>
      <c r="E111" t="str">
        <f t="shared" si="10"/>
        <v>Star Kombucha Orginal Ổi Hồng Khay 30 Lon 250</v>
      </c>
      <c r="F111" t="s">
        <v>527</v>
      </c>
      <c r="G111" t="s">
        <v>8</v>
      </c>
      <c r="H111" t="s">
        <v>14</v>
      </c>
      <c r="I111" t="str">
        <f t="shared" si="8"/>
        <v>Star Kombucha Orginal</v>
      </c>
      <c r="J111" t="s">
        <v>19</v>
      </c>
      <c r="K111">
        <v>250</v>
      </c>
      <c r="L111" t="s">
        <v>572</v>
      </c>
      <c r="M111" t="s">
        <v>17</v>
      </c>
      <c r="N111">
        <v>30</v>
      </c>
      <c r="O111" t="s">
        <v>27</v>
      </c>
      <c r="P111" t="s">
        <v>43</v>
      </c>
      <c r="T111" t="s">
        <v>122</v>
      </c>
      <c r="U111" t="s">
        <v>363</v>
      </c>
    </row>
    <row r="112" spans="1:21" x14ac:dyDescent="0.35">
      <c r="A112" t="s">
        <v>528</v>
      </c>
      <c r="B112" t="s">
        <v>528</v>
      </c>
      <c r="C112">
        <v>0</v>
      </c>
      <c r="D112">
        <v>1</v>
      </c>
      <c r="E112" t="str">
        <f t="shared" si="10"/>
        <v>Star Kombucha Orginal Chanh Dây Khay 30 Lon 250</v>
      </c>
      <c r="F112" t="s">
        <v>529</v>
      </c>
      <c r="G112" t="s">
        <v>8</v>
      </c>
      <c r="H112" t="s">
        <v>14</v>
      </c>
      <c r="I112" t="str">
        <f t="shared" si="8"/>
        <v>Star Kombucha Orginal</v>
      </c>
      <c r="J112" t="s">
        <v>501</v>
      </c>
      <c r="K112">
        <v>250</v>
      </c>
      <c r="L112" t="s">
        <v>572</v>
      </c>
      <c r="M112" t="s">
        <v>17</v>
      </c>
      <c r="N112">
        <v>30</v>
      </c>
      <c r="O112" t="s">
        <v>27</v>
      </c>
      <c r="P112" t="s">
        <v>43</v>
      </c>
      <c r="T112" t="s">
        <v>122</v>
      </c>
      <c r="U112" t="s">
        <v>363</v>
      </c>
    </row>
    <row r="113" spans="1:21" x14ac:dyDescent="0.35">
      <c r="A113" t="s">
        <v>531</v>
      </c>
      <c r="B113" t="s">
        <v>531</v>
      </c>
      <c r="C113">
        <v>0</v>
      </c>
      <c r="D113">
        <v>1</v>
      </c>
      <c r="E113" t="str">
        <f t="shared" si="10"/>
        <v>Star Kombucha Orginal Xoài Kiwi Khay 30 Lon 250</v>
      </c>
      <c r="F113" t="s">
        <v>530</v>
      </c>
      <c r="G113" t="s">
        <v>8</v>
      </c>
      <c r="H113" t="s">
        <v>14</v>
      </c>
      <c r="I113" t="str">
        <f t="shared" si="8"/>
        <v>Star Kombucha Orginal</v>
      </c>
      <c r="J113" t="s">
        <v>23</v>
      </c>
      <c r="K113">
        <v>250</v>
      </c>
      <c r="L113" t="s">
        <v>572</v>
      </c>
      <c r="M113" t="s">
        <v>17</v>
      </c>
      <c r="N113">
        <v>30</v>
      </c>
      <c r="O113" t="s">
        <v>27</v>
      </c>
      <c r="P113" t="s">
        <v>43</v>
      </c>
      <c r="T113" t="s">
        <v>122</v>
      </c>
      <c r="U113" t="s">
        <v>363</v>
      </c>
    </row>
    <row r="114" spans="1:21" x14ac:dyDescent="0.35">
      <c r="A114" t="s">
        <v>532</v>
      </c>
      <c r="B114" t="s">
        <v>532</v>
      </c>
      <c r="C114">
        <v>0</v>
      </c>
      <c r="D114">
        <v>1</v>
      </c>
      <c r="E114" t="str">
        <f t="shared" si="10"/>
        <v>Star Kombucha Orginal Dâu Tây Khay 30 Lon 250</v>
      </c>
      <c r="F114" t="s">
        <v>533</v>
      </c>
      <c r="G114" t="s">
        <v>8</v>
      </c>
      <c r="H114" t="s">
        <v>14</v>
      </c>
      <c r="I114" t="str">
        <f t="shared" si="8"/>
        <v>Star Kombucha Orginal</v>
      </c>
      <c r="J114" t="s">
        <v>16</v>
      </c>
      <c r="K114">
        <v>250</v>
      </c>
      <c r="L114" t="s">
        <v>572</v>
      </c>
      <c r="M114" t="s">
        <v>17</v>
      </c>
      <c r="N114">
        <v>30</v>
      </c>
      <c r="O114" t="s">
        <v>27</v>
      </c>
      <c r="P114" t="s">
        <v>43</v>
      </c>
      <c r="T114" t="s">
        <v>122</v>
      </c>
      <c r="U114" t="s">
        <v>363</v>
      </c>
    </row>
    <row r="115" spans="1:21" x14ac:dyDescent="0.35">
      <c r="A115" t="s">
        <v>534</v>
      </c>
      <c r="B115" t="s">
        <v>534</v>
      </c>
      <c r="C115">
        <v>0</v>
      </c>
      <c r="D115">
        <v>1</v>
      </c>
      <c r="E115" t="str">
        <f t="shared" si="10"/>
        <v>Star Kombucha Orginal Nguyên Bản Thùng 12 Lon 250</v>
      </c>
      <c r="F115" t="s">
        <v>535</v>
      </c>
      <c r="G115" t="s">
        <v>8</v>
      </c>
      <c r="H115" t="s">
        <v>14</v>
      </c>
      <c r="I115" t="str">
        <f t="shared" si="8"/>
        <v>Star Kombucha Orginal</v>
      </c>
      <c r="J115" t="s">
        <v>205</v>
      </c>
      <c r="K115">
        <v>250</v>
      </c>
      <c r="L115" t="s">
        <v>572</v>
      </c>
      <c r="M115" t="s">
        <v>17</v>
      </c>
      <c r="N115">
        <v>12</v>
      </c>
      <c r="O115" t="s">
        <v>27</v>
      </c>
      <c r="P115" t="s">
        <v>29</v>
      </c>
      <c r="T115" t="s">
        <v>122</v>
      </c>
      <c r="U115" t="s">
        <v>363</v>
      </c>
    </row>
    <row r="116" spans="1:21" x14ac:dyDescent="0.35">
      <c r="A116" t="s">
        <v>536</v>
      </c>
      <c r="B116" t="s">
        <v>536</v>
      </c>
      <c r="C116">
        <v>0</v>
      </c>
      <c r="D116">
        <v>1</v>
      </c>
      <c r="E116" t="str">
        <f t="shared" si="10"/>
        <v>Star Kombucha Orginal Nguyên Bản Khay 30 Lon 250</v>
      </c>
      <c r="F116" t="s">
        <v>537</v>
      </c>
      <c r="G116" t="s">
        <v>8</v>
      </c>
      <c r="H116" t="s">
        <v>14</v>
      </c>
      <c r="I116" t="str">
        <f t="shared" si="8"/>
        <v>Star Kombucha Orginal</v>
      </c>
      <c r="J116" t="s">
        <v>205</v>
      </c>
      <c r="K116">
        <v>250</v>
      </c>
      <c r="L116" t="s">
        <v>572</v>
      </c>
      <c r="M116" t="s">
        <v>17</v>
      </c>
      <c r="N116">
        <v>30</v>
      </c>
      <c r="O116" t="s">
        <v>27</v>
      </c>
      <c r="P116" t="s">
        <v>43</v>
      </c>
      <c r="T116" t="s">
        <v>122</v>
      </c>
      <c r="U116" t="s">
        <v>363</v>
      </c>
    </row>
    <row r="117" spans="1:21" x14ac:dyDescent="0.35">
      <c r="A117" t="s">
        <v>548</v>
      </c>
      <c r="B117" t="s">
        <v>548</v>
      </c>
      <c r="C117">
        <v>0</v>
      </c>
      <c r="D117">
        <v>1</v>
      </c>
      <c r="E117" t="str">
        <f t="shared" si="10"/>
        <v>Star Kombucha Orginal Artiso Đỏ Thùng 12 Lon 250</v>
      </c>
      <c r="F117" t="s">
        <v>547</v>
      </c>
      <c r="G117" t="s">
        <v>8</v>
      </c>
      <c r="H117" t="s">
        <v>14</v>
      </c>
      <c r="I117" t="str">
        <f t="shared" si="8"/>
        <v>Star Kombucha Orginal</v>
      </c>
      <c r="J117" t="s">
        <v>500</v>
      </c>
      <c r="K117">
        <v>250</v>
      </c>
      <c r="L117" t="s">
        <v>572</v>
      </c>
      <c r="M117" t="s">
        <v>17</v>
      </c>
      <c r="N117">
        <v>12</v>
      </c>
      <c r="O117" t="s">
        <v>27</v>
      </c>
      <c r="P117" t="s">
        <v>29</v>
      </c>
      <c r="T117" t="s">
        <v>122</v>
      </c>
      <c r="U117" t="s">
        <v>363</v>
      </c>
    </row>
    <row r="118" spans="1:21" x14ac:dyDescent="0.35">
      <c r="A118" t="s">
        <v>551</v>
      </c>
      <c r="B118" t="s">
        <v>551</v>
      </c>
      <c r="C118">
        <v>0</v>
      </c>
      <c r="D118">
        <v>1</v>
      </c>
      <c r="E118" t="str">
        <f t="shared" si="10"/>
        <v>Star Kombucha Orginal Cam Yuzu Thùng 12 Lon 250</v>
      </c>
      <c r="F118" t="s">
        <v>550</v>
      </c>
      <c r="G118" t="s">
        <v>8</v>
      </c>
      <c r="H118" t="s">
        <v>14</v>
      </c>
      <c r="I118" t="str">
        <f t="shared" si="8"/>
        <v>Star Kombucha Orginal</v>
      </c>
      <c r="J118" t="s">
        <v>22</v>
      </c>
      <c r="K118">
        <v>250</v>
      </c>
      <c r="L118" t="s">
        <v>572</v>
      </c>
      <c r="M118" t="s">
        <v>17</v>
      </c>
      <c r="N118">
        <v>12</v>
      </c>
      <c r="O118" t="s">
        <v>27</v>
      </c>
      <c r="P118" t="s">
        <v>29</v>
      </c>
      <c r="T118" t="s">
        <v>122</v>
      </c>
      <c r="U118" t="s">
        <v>363</v>
      </c>
    </row>
    <row r="119" spans="1:21" x14ac:dyDescent="0.35">
      <c r="A119" t="s">
        <v>554</v>
      </c>
      <c r="B119" t="s">
        <v>554</v>
      </c>
      <c r="C119">
        <v>0</v>
      </c>
      <c r="D119">
        <v>1</v>
      </c>
      <c r="E119" t="str">
        <f t="shared" si="10"/>
        <v>Star Kombucha Orginal Mơ Thùng 12 Lon 250</v>
      </c>
      <c r="F119" t="s">
        <v>553</v>
      </c>
      <c r="G119" t="s">
        <v>8</v>
      </c>
      <c r="H119" t="s">
        <v>14</v>
      </c>
      <c r="I119" t="str">
        <f t="shared" si="8"/>
        <v>Star Kombucha Orginal</v>
      </c>
      <c r="J119" t="s">
        <v>502</v>
      </c>
      <c r="K119">
        <v>250</v>
      </c>
      <c r="L119" t="s">
        <v>572</v>
      </c>
      <c r="M119" t="s">
        <v>17</v>
      </c>
      <c r="N119">
        <v>12</v>
      </c>
      <c r="O119" t="s">
        <v>27</v>
      </c>
      <c r="P119" t="s">
        <v>29</v>
      </c>
      <c r="T119" t="s">
        <v>122</v>
      </c>
      <c r="U119" t="s">
        <v>363</v>
      </c>
    </row>
    <row r="120" spans="1:21" x14ac:dyDescent="0.35">
      <c r="A120" t="s">
        <v>556</v>
      </c>
      <c r="B120" t="s">
        <v>556</v>
      </c>
      <c r="C120">
        <v>0</v>
      </c>
      <c r="D120">
        <v>1</v>
      </c>
      <c r="E120" t="str">
        <f t="shared" si="10"/>
        <v>Star Kombucha Mix Thùng 12 Lon 250</v>
      </c>
      <c r="F120" t="s">
        <v>557</v>
      </c>
      <c r="G120" t="s">
        <v>8</v>
      </c>
      <c r="H120" t="s">
        <v>35</v>
      </c>
      <c r="I120" t="str">
        <f t="shared" si="8"/>
        <v>Star Kombucha Mix</v>
      </c>
      <c r="K120">
        <v>250</v>
      </c>
      <c r="L120" t="s">
        <v>572</v>
      </c>
      <c r="M120" t="s">
        <v>17</v>
      </c>
      <c r="N120">
        <v>12</v>
      </c>
      <c r="O120" t="s">
        <v>27</v>
      </c>
      <c r="P120" t="s">
        <v>29</v>
      </c>
      <c r="T120" t="s">
        <v>122</v>
      </c>
      <c r="U120" t="s">
        <v>363</v>
      </c>
    </row>
    <row r="121" spans="1:21" x14ac:dyDescent="0.35">
      <c r="A121" t="s">
        <v>558</v>
      </c>
      <c r="B121" t="s">
        <v>558</v>
      </c>
      <c r="C121">
        <v>0</v>
      </c>
      <c r="D121">
        <v>1</v>
      </c>
      <c r="E121" t="str">
        <f t="shared" si="10"/>
        <v>Star Kombucha Orginal Cam Yuzu Khay 30 Lon 250</v>
      </c>
      <c r="F121" t="s">
        <v>559</v>
      </c>
      <c r="G121" t="s">
        <v>8</v>
      </c>
      <c r="H121" t="s">
        <v>14</v>
      </c>
      <c r="I121" t="str">
        <f t="shared" si="8"/>
        <v>Star Kombucha Orginal</v>
      </c>
      <c r="J121" t="s">
        <v>22</v>
      </c>
      <c r="K121">
        <v>250</v>
      </c>
      <c r="L121" t="s">
        <v>572</v>
      </c>
      <c r="M121" t="s">
        <v>17</v>
      </c>
      <c r="N121">
        <v>30</v>
      </c>
      <c r="O121" t="s">
        <v>27</v>
      </c>
      <c r="P121" t="s">
        <v>43</v>
      </c>
      <c r="T121" t="s">
        <v>122</v>
      </c>
      <c r="U121" t="s">
        <v>363</v>
      </c>
    </row>
    <row r="122" spans="1:21" x14ac:dyDescent="0.35">
      <c r="A122" t="s">
        <v>560</v>
      </c>
      <c r="B122" t="s">
        <v>560</v>
      </c>
      <c r="C122">
        <v>0</v>
      </c>
      <c r="D122">
        <v>1</v>
      </c>
      <c r="E122" t="str">
        <f t="shared" si="10"/>
        <v>Star Kombucha Orginal Artiso Đỏ Khay 30 Lon 250</v>
      </c>
      <c r="F122" t="s">
        <v>561</v>
      </c>
      <c r="G122" t="s">
        <v>8</v>
      </c>
      <c r="H122" t="s">
        <v>14</v>
      </c>
      <c r="I122" t="str">
        <f t="shared" si="8"/>
        <v>Star Kombucha Orginal</v>
      </c>
      <c r="J122" t="s">
        <v>500</v>
      </c>
      <c r="K122">
        <v>250</v>
      </c>
      <c r="L122" t="s">
        <v>572</v>
      </c>
      <c r="M122" t="s">
        <v>17</v>
      </c>
      <c r="N122">
        <v>30</v>
      </c>
      <c r="O122" t="s">
        <v>27</v>
      </c>
      <c r="P122" t="s">
        <v>43</v>
      </c>
      <c r="T122" t="s">
        <v>122</v>
      </c>
      <c r="U122" t="s">
        <v>363</v>
      </c>
    </row>
    <row r="123" spans="1:21" x14ac:dyDescent="0.35">
      <c r="A123" t="s">
        <v>562</v>
      </c>
      <c r="B123" t="s">
        <v>562</v>
      </c>
      <c r="C123">
        <v>0</v>
      </c>
      <c r="D123">
        <v>1</v>
      </c>
      <c r="E123" t="str">
        <f t="shared" si="10"/>
        <v>Chill Cocktail Mix Thùng 12 Lon 250</v>
      </c>
      <c r="F123" t="s">
        <v>563</v>
      </c>
      <c r="G123" t="s">
        <v>81</v>
      </c>
      <c r="H123" t="s">
        <v>35</v>
      </c>
      <c r="I123" t="str">
        <f t="shared" si="8"/>
        <v>Chill Cocktail Mix</v>
      </c>
      <c r="K123">
        <v>250</v>
      </c>
      <c r="L123" t="s">
        <v>572</v>
      </c>
      <c r="M123" t="s">
        <v>17</v>
      </c>
      <c r="N123">
        <v>12</v>
      </c>
      <c r="O123" t="s">
        <v>27</v>
      </c>
      <c r="P123" t="s">
        <v>29</v>
      </c>
      <c r="T123" t="s">
        <v>122</v>
      </c>
      <c r="U123" t="s">
        <v>363</v>
      </c>
    </row>
    <row r="124" spans="1:21" x14ac:dyDescent="0.35">
      <c r="A124" t="s">
        <v>564</v>
      </c>
      <c r="B124" t="s">
        <v>564</v>
      </c>
      <c r="C124">
        <v>0</v>
      </c>
      <c r="D124">
        <v>1</v>
      </c>
      <c r="E124" t="str">
        <f t="shared" si="10"/>
        <v>Mamapop Orginal Đào Thùng 4 Lon 330</v>
      </c>
      <c r="F124" t="s">
        <v>567</v>
      </c>
      <c r="G124" t="s">
        <v>151</v>
      </c>
      <c r="H124" t="s">
        <v>14</v>
      </c>
      <c r="I124" t="str">
        <f>G124&amp;" "&amp;H124</f>
        <v>Mamapop Orginal</v>
      </c>
      <c r="J124" t="s">
        <v>84</v>
      </c>
      <c r="K124">
        <v>330</v>
      </c>
      <c r="L124" t="s">
        <v>572</v>
      </c>
      <c r="M124" t="s">
        <v>154</v>
      </c>
      <c r="N124">
        <v>4</v>
      </c>
      <c r="O124" t="s">
        <v>27</v>
      </c>
      <c r="P124" t="s">
        <v>29</v>
      </c>
      <c r="T124" t="s">
        <v>122</v>
      </c>
      <c r="U124" t="s">
        <v>363</v>
      </c>
    </row>
    <row r="125" spans="1:21" x14ac:dyDescent="0.35">
      <c r="A125" t="s">
        <v>565</v>
      </c>
      <c r="B125" t="s">
        <v>565</v>
      </c>
      <c r="C125">
        <v>0</v>
      </c>
      <c r="D125">
        <v>1</v>
      </c>
      <c r="E125" t="str">
        <f t="shared" si="10"/>
        <v>Mamapop Orginal Gừng Thùng 4 Lon 330</v>
      </c>
      <c r="F125" t="s">
        <v>568</v>
      </c>
      <c r="G125" t="s">
        <v>151</v>
      </c>
      <c r="H125" t="s">
        <v>14</v>
      </c>
      <c r="I125" t="str">
        <f t="shared" si="8"/>
        <v>Mamapop Orginal</v>
      </c>
      <c r="J125" t="s">
        <v>155</v>
      </c>
      <c r="K125">
        <v>330</v>
      </c>
      <c r="L125" t="s">
        <v>572</v>
      </c>
      <c r="M125" t="s">
        <v>154</v>
      </c>
      <c r="N125">
        <v>4</v>
      </c>
      <c r="O125" t="s">
        <v>27</v>
      </c>
      <c r="P125" t="s">
        <v>29</v>
      </c>
      <c r="T125" t="s">
        <v>122</v>
      </c>
      <c r="U125" t="s">
        <v>363</v>
      </c>
    </row>
    <row r="126" spans="1:21" x14ac:dyDescent="0.35">
      <c r="A126" t="s">
        <v>566</v>
      </c>
      <c r="B126" t="s">
        <v>566</v>
      </c>
      <c r="C126">
        <v>0</v>
      </c>
      <c r="D126">
        <v>1</v>
      </c>
      <c r="E126" t="str">
        <f t="shared" si="10"/>
        <v>Mamapop Orginal Bưởi Hồng Thùng 4 Lon 330</v>
      </c>
      <c r="F126" t="s">
        <v>569</v>
      </c>
      <c r="G126" t="s">
        <v>151</v>
      </c>
      <c r="H126" t="s">
        <v>14</v>
      </c>
      <c r="I126" t="str">
        <f t="shared" si="8"/>
        <v>Mamapop Orginal</v>
      </c>
      <c r="J126" t="s">
        <v>152</v>
      </c>
      <c r="K126">
        <v>330</v>
      </c>
      <c r="L126" t="s">
        <v>572</v>
      </c>
      <c r="M126" t="s">
        <v>154</v>
      </c>
      <c r="N126">
        <v>4</v>
      </c>
      <c r="O126" t="s">
        <v>27</v>
      </c>
      <c r="P126" t="s">
        <v>29</v>
      </c>
      <c r="T126" t="s">
        <v>122</v>
      </c>
      <c r="U126" t="s">
        <v>363</v>
      </c>
    </row>
    <row r="127" spans="1:21" x14ac:dyDescent="0.35">
      <c r="A127" t="s">
        <v>570</v>
      </c>
      <c r="B127" t="s">
        <v>317</v>
      </c>
      <c r="C127">
        <v>1</v>
      </c>
      <c r="D127">
        <v>1</v>
      </c>
      <c r="E127" t="str">
        <f t="shared" si="10"/>
        <v>Chill Cocktail Light Cam Lon 330</v>
      </c>
      <c r="F127" t="s">
        <v>318</v>
      </c>
      <c r="G127" t="s">
        <v>81</v>
      </c>
      <c r="H127" t="s">
        <v>82</v>
      </c>
      <c r="I127" t="str">
        <f t="shared" si="8"/>
        <v>Chill Cocktail Light</v>
      </c>
      <c r="J127" t="s">
        <v>166</v>
      </c>
      <c r="K127">
        <v>330</v>
      </c>
      <c r="L127" t="s">
        <v>572</v>
      </c>
      <c r="M127" t="s">
        <v>154</v>
      </c>
      <c r="N127">
        <v>1</v>
      </c>
      <c r="O127" t="s">
        <v>27</v>
      </c>
    </row>
  </sheetData>
  <autoFilter ref="A1:U127" xr:uid="{DAFCEA81-1E50-4453-9DBD-9EAD98672712}"/>
  <conditionalFormatting sqref="B1:B1048576">
    <cfRule type="duplicateValues" dxfId="2" priority="7"/>
  </conditionalFormatting>
  <conditionalFormatting sqref="A1:A107 A109:A1048576">
    <cfRule type="duplicateValues" dxfId="1" priority="4"/>
  </conditionalFormatting>
  <conditionalFormatting sqref="A108">
    <cfRule type="duplicateValues" dxfId="0" priority="1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8EFD6A0-4C43-4990-A5E8-2B263A66450C}">
          <x14:formula1>
            <xm:f>Helper!$B$2:$B$4</xm:f>
          </x14:formula1>
          <xm:sqref>O2:O1048576</xm:sqref>
        </x14:dataValidation>
        <x14:dataValidation type="list" allowBlank="1" showInputMessage="1" showErrorMessage="1" xr:uid="{BA292072-30D0-4158-BFDA-F8608BDEE68E}">
          <x14:formula1>
            <xm:f>Helper!$F$2:$F$6</xm:f>
          </x14:formula1>
          <xm:sqref>P1:P1048576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3F3BA-51C6-467D-9284-71AF983D8834}">
  <dimension ref="A1:M105"/>
  <sheetViews>
    <sheetView topLeftCell="G1" workbookViewId="0">
      <pane ySplit="1" topLeftCell="A88" activePane="bottomLeft" state="frozen"/>
      <selection activeCell="H1" sqref="H1"/>
      <selection pane="bottomLeft" activeCell="H105" sqref="H105"/>
    </sheetView>
  </sheetViews>
  <sheetFormatPr defaultRowHeight="14.5" x14ac:dyDescent="0.35"/>
  <cols>
    <col min="1" max="1" width="14.08984375" bestFit="1" customWidth="1"/>
    <col min="2" max="2" width="8.1796875" bestFit="1" customWidth="1"/>
    <col min="3" max="3" width="14.81640625" bestFit="1" customWidth="1"/>
    <col min="4" max="4" width="21.90625" bestFit="1" customWidth="1"/>
    <col min="5" max="5" width="9.54296875" bestFit="1" customWidth="1"/>
    <col min="6" max="6" width="20" bestFit="1" customWidth="1"/>
    <col min="7" max="7" width="19.6328125" bestFit="1" customWidth="1"/>
    <col min="8" max="8" width="47.6328125" bestFit="1" customWidth="1"/>
    <col min="9" max="9" width="51.36328125" bestFit="1" customWidth="1"/>
    <col min="10" max="10" width="44.90625" bestFit="1" customWidth="1"/>
    <col min="11" max="13" width="16.453125" bestFit="1" customWidth="1"/>
  </cols>
  <sheetData>
    <row r="1" spans="1:13" x14ac:dyDescent="0.35">
      <c r="A1" s="1" t="s">
        <v>0</v>
      </c>
      <c r="B1" s="1" t="s">
        <v>308</v>
      </c>
      <c r="C1" s="1" t="s">
        <v>34</v>
      </c>
      <c r="D1" s="1" t="s">
        <v>12</v>
      </c>
      <c r="E1" s="1" t="s">
        <v>13</v>
      </c>
      <c r="F1" s="1" t="s">
        <v>6</v>
      </c>
      <c r="G1" s="1" t="s">
        <v>15</v>
      </c>
      <c r="H1" s="1" t="s">
        <v>1</v>
      </c>
      <c r="I1" s="1" t="s">
        <v>480</v>
      </c>
      <c r="J1" s="1" t="s">
        <v>481</v>
      </c>
      <c r="K1" s="1" t="s">
        <v>482</v>
      </c>
      <c r="L1" s="1" t="s">
        <v>483</v>
      </c>
      <c r="M1" s="1" t="s">
        <v>484</v>
      </c>
    </row>
    <row r="2" spans="1:13" x14ac:dyDescent="0.35">
      <c r="A2" t="s">
        <v>117</v>
      </c>
      <c r="B2">
        <v>0</v>
      </c>
      <c r="C2" t="s">
        <v>117</v>
      </c>
      <c r="D2" t="s">
        <v>81</v>
      </c>
      <c r="E2" t="s">
        <v>112</v>
      </c>
      <c r="F2" t="s">
        <v>485</v>
      </c>
      <c r="G2" t="s">
        <v>113</v>
      </c>
      <c r="H2" t="s">
        <v>387</v>
      </c>
      <c r="I2" t="s">
        <v>119</v>
      </c>
    </row>
    <row r="3" spans="1:13" x14ac:dyDescent="0.35">
      <c r="A3" t="s">
        <v>355</v>
      </c>
      <c r="B3">
        <v>1</v>
      </c>
      <c r="C3" t="s">
        <v>117</v>
      </c>
      <c r="D3" t="s">
        <v>81</v>
      </c>
      <c r="E3" t="s">
        <v>112</v>
      </c>
      <c r="F3" t="s">
        <v>485</v>
      </c>
      <c r="G3" t="s">
        <v>113</v>
      </c>
      <c r="H3" t="s">
        <v>388</v>
      </c>
      <c r="I3" t="s">
        <v>253</v>
      </c>
    </row>
    <row r="4" spans="1:13" x14ac:dyDescent="0.35">
      <c r="A4" t="s">
        <v>118</v>
      </c>
      <c r="B4">
        <v>0</v>
      </c>
      <c r="C4" t="s">
        <v>118</v>
      </c>
      <c r="D4" t="s">
        <v>81</v>
      </c>
      <c r="E4" t="s">
        <v>112</v>
      </c>
      <c r="F4" t="s">
        <v>485</v>
      </c>
      <c r="G4" t="s">
        <v>114</v>
      </c>
      <c r="H4" t="s">
        <v>389</v>
      </c>
      <c r="I4" t="s">
        <v>120</v>
      </c>
    </row>
    <row r="5" spans="1:13" x14ac:dyDescent="0.35">
      <c r="A5" t="s">
        <v>356</v>
      </c>
      <c r="B5">
        <v>1</v>
      </c>
      <c r="C5" t="s">
        <v>118</v>
      </c>
      <c r="D5" t="s">
        <v>81</v>
      </c>
      <c r="E5" t="s">
        <v>112</v>
      </c>
      <c r="F5" t="s">
        <v>485</v>
      </c>
      <c r="G5" t="s">
        <v>114</v>
      </c>
      <c r="H5" t="s">
        <v>390</v>
      </c>
      <c r="I5" t="s">
        <v>254</v>
      </c>
    </row>
    <row r="6" spans="1:13" x14ac:dyDescent="0.35">
      <c r="A6" t="s">
        <v>357</v>
      </c>
      <c r="B6">
        <v>1</v>
      </c>
      <c r="C6" t="s">
        <v>297</v>
      </c>
      <c r="D6" t="s">
        <v>81</v>
      </c>
      <c r="E6" t="s">
        <v>82</v>
      </c>
      <c r="F6" t="s">
        <v>486</v>
      </c>
      <c r="G6" t="s">
        <v>226</v>
      </c>
      <c r="H6" t="s">
        <v>391</v>
      </c>
      <c r="I6" t="s">
        <v>247</v>
      </c>
    </row>
    <row r="7" spans="1:13" x14ac:dyDescent="0.35">
      <c r="A7" t="s">
        <v>297</v>
      </c>
      <c r="B7">
        <v>0</v>
      </c>
      <c r="C7" t="s">
        <v>297</v>
      </c>
      <c r="D7" t="s">
        <v>81</v>
      </c>
      <c r="E7" t="s">
        <v>82</v>
      </c>
      <c r="F7" t="s">
        <v>486</v>
      </c>
      <c r="G7" t="s">
        <v>166</v>
      </c>
      <c r="H7" t="s">
        <v>392</v>
      </c>
      <c r="I7" t="s">
        <v>298</v>
      </c>
    </row>
    <row r="8" spans="1:13" x14ac:dyDescent="0.35">
      <c r="A8" t="s">
        <v>364</v>
      </c>
      <c r="B8">
        <v>0</v>
      </c>
      <c r="C8" t="s">
        <v>69</v>
      </c>
      <c r="D8" t="s">
        <v>8</v>
      </c>
      <c r="E8" t="s">
        <v>35</v>
      </c>
      <c r="F8" t="s">
        <v>47</v>
      </c>
      <c r="H8" t="s">
        <v>393</v>
      </c>
      <c r="I8" t="s">
        <v>60</v>
      </c>
    </row>
    <row r="9" spans="1:13" x14ac:dyDescent="0.35">
      <c r="A9" t="s">
        <v>365</v>
      </c>
      <c r="B9">
        <v>0</v>
      </c>
      <c r="C9" t="s">
        <v>70</v>
      </c>
      <c r="D9" t="s">
        <v>8</v>
      </c>
      <c r="E9" t="s">
        <v>35</v>
      </c>
      <c r="F9" t="s">
        <v>47</v>
      </c>
      <c r="H9" t="s">
        <v>393</v>
      </c>
      <c r="I9" t="s">
        <v>61</v>
      </c>
    </row>
    <row r="10" spans="1:13" x14ac:dyDescent="0.35">
      <c r="A10" t="s">
        <v>93</v>
      </c>
      <c r="B10">
        <v>0</v>
      </c>
      <c r="C10" t="s">
        <v>93</v>
      </c>
      <c r="D10" t="s">
        <v>81</v>
      </c>
      <c r="E10" t="s">
        <v>82</v>
      </c>
      <c r="F10" t="s">
        <v>486</v>
      </c>
      <c r="G10" t="s">
        <v>86</v>
      </c>
      <c r="H10" t="s">
        <v>394</v>
      </c>
      <c r="I10" t="s">
        <v>101</v>
      </c>
    </row>
    <row r="11" spans="1:13" x14ac:dyDescent="0.35">
      <c r="A11" t="s">
        <v>358</v>
      </c>
      <c r="B11">
        <v>1</v>
      </c>
      <c r="C11" t="s">
        <v>93</v>
      </c>
      <c r="D11" t="s">
        <v>81</v>
      </c>
      <c r="E11" t="s">
        <v>82</v>
      </c>
      <c r="F11" t="s">
        <v>486</v>
      </c>
      <c r="G11" t="s">
        <v>227</v>
      </c>
      <c r="H11" t="s">
        <v>395</v>
      </c>
      <c r="I11" t="s">
        <v>248</v>
      </c>
    </row>
    <row r="12" spans="1:13" x14ac:dyDescent="0.35">
      <c r="A12" t="s">
        <v>88</v>
      </c>
      <c r="B12">
        <v>0</v>
      </c>
      <c r="C12" t="s">
        <v>88</v>
      </c>
      <c r="D12" t="s">
        <v>81</v>
      </c>
      <c r="E12" t="s">
        <v>82</v>
      </c>
      <c r="F12" t="s">
        <v>486</v>
      </c>
      <c r="G12" t="s">
        <v>24</v>
      </c>
      <c r="H12" t="s">
        <v>396</v>
      </c>
      <c r="I12" t="s">
        <v>96</v>
      </c>
    </row>
    <row r="13" spans="1:13" x14ac:dyDescent="0.35">
      <c r="A13" t="s">
        <v>359</v>
      </c>
      <c r="B13">
        <v>1</v>
      </c>
      <c r="C13" t="s">
        <v>88</v>
      </c>
      <c r="D13" t="s">
        <v>81</v>
      </c>
      <c r="E13" t="s">
        <v>82</v>
      </c>
      <c r="F13" t="s">
        <v>486</v>
      </c>
      <c r="G13" t="s">
        <v>224</v>
      </c>
      <c r="H13" t="s">
        <v>397</v>
      </c>
      <c r="I13" t="s">
        <v>244</v>
      </c>
    </row>
    <row r="14" spans="1:13" x14ac:dyDescent="0.35">
      <c r="A14" t="s">
        <v>89</v>
      </c>
      <c r="B14">
        <v>0</v>
      </c>
      <c r="C14" t="s">
        <v>89</v>
      </c>
      <c r="D14" t="s">
        <v>81</v>
      </c>
      <c r="E14" t="s">
        <v>82</v>
      </c>
      <c r="F14" t="s">
        <v>486</v>
      </c>
      <c r="G14" t="s">
        <v>83</v>
      </c>
      <c r="H14" t="s">
        <v>398</v>
      </c>
      <c r="I14" t="s">
        <v>97</v>
      </c>
    </row>
    <row r="15" spans="1:13" x14ac:dyDescent="0.35">
      <c r="A15" t="s">
        <v>360</v>
      </c>
      <c r="B15">
        <v>1</v>
      </c>
      <c r="C15" t="s">
        <v>89</v>
      </c>
      <c r="D15" t="s">
        <v>81</v>
      </c>
      <c r="E15" t="s">
        <v>82</v>
      </c>
      <c r="F15" t="s">
        <v>486</v>
      </c>
      <c r="G15" t="s">
        <v>221</v>
      </c>
      <c r="H15" t="s">
        <v>399</v>
      </c>
      <c r="I15" t="s">
        <v>246</v>
      </c>
    </row>
    <row r="16" spans="1:13" x14ac:dyDescent="0.35">
      <c r="A16" t="s">
        <v>90</v>
      </c>
      <c r="B16">
        <v>0</v>
      </c>
      <c r="C16" t="s">
        <v>90</v>
      </c>
      <c r="D16" t="s">
        <v>81</v>
      </c>
      <c r="E16" t="s">
        <v>82</v>
      </c>
      <c r="F16" t="s">
        <v>486</v>
      </c>
      <c r="G16" t="s">
        <v>20</v>
      </c>
      <c r="H16" t="s">
        <v>400</v>
      </c>
      <c r="I16" t="s">
        <v>98</v>
      </c>
    </row>
    <row r="17" spans="1:9" x14ac:dyDescent="0.35">
      <c r="A17" t="s">
        <v>94</v>
      </c>
      <c r="B17">
        <v>0</v>
      </c>
      <c r="C17" t="s">
        <v>94</v>
      </c>
      <c r="D17" t="s">
        <v>81</v>
      </c>
      <c r="E17" t="s">
        <v>35</v>
      </c>
      <c r="F17" t="s">
        <v>487</v>
      </c>
      <c r="H17" t="s">
        <v>401</v>
      </c>
      <c r="I17" t="s">
        <v>102</v>
      </c>
    </row>
    <row r="18" spans="1:9" x14ac:dyDescent="0.35">
      <c r="A18" t="s">
        <v>95</v>
      </c>
      <c r="B18">
        <v>0</v>
      </c>
      <c r="C18" t="s">
        <v>95</v>
      </c>
      <c r="D18" t="s">
        <v>81</v>
      </c>
      <c r="E18" t="s">
        <v>35</v>
      </c>
      <c r="F18" t="s">
        <v>487</v>
      </c>
      <c r="H18" t="s">
        <v>401</v>
      </c>
      <c r="I18" t="s">
        <v>103</v>
      </c>
    </row>
    <row r="19" spans="1:9" x14ac:dyDescent="0.35">
      <c r="A19" t="s">
        <v>361</v>
      </c>
      <c r="B19">
        <v>1</v>
      </c>
      <c r="C19" t="s">
        <v>90</v>
      </c>
      <c r="D19" t="s">
        <v>81</v>
      </c>
      <c r="E19" t="s">
        <v>82</v>
      </c>
      <c r="F19" t="s">
        <v>486</v>
      </c>
      <c r="G19" t="s">
        <v>225</v>
      </c>
      <c r="H19" t="s">
        <v>402</v>
      </c>
      <c r="I19" t="s">
        <v>245</v>
      </c>
    </row>
    <row r="20" spans="1:9" x14ac:dyDescent="0.35">
      <c r="A20" t="s">
        <v>91</v>
      </c>
      <c r="B20">
        <v>0</v>
      </c>
      <c r="C20" t="s">
        <v>91</v>
      </c>
      <c r="D20" t="s">
        <v>81</v>
      </c>
      <c r="E20" t="s">
        <v>82</v>
      </c>
      <c r="F20" t="s">
        <v>486</v>
      </c>
      <c r="G20" t="s">
        <v>84</v>
      </c>
      <c r="H20" t="s">
        <v>403</v>
      </c>
      <c r="I20" t="s">
        <v>99</v>
      </c>
    </row>
    <row r="21" spans="1:9" x14ac:dyDescent="0.35">
      <c r="A21" t="s">
        <v>123</v>
      </c>
      <c r="B21">
        <v>0</v>
      </c>
      <c r="C21" t="s">
        <v>123</v>
      </c>
      <c r="D21" t="s">
        <v>151</v>
      </c>
      <c r="E21" t="s">
        <v>14</v>
      </c>
      <c r="F21" t="s">
        <v>488</v>
      </c>
      <c r="G21" t="s">
        <v>25</v>
      </c>
      <c r="H21" t="s">
        <v>404</v>
      </c>
      <c r="I21" t="s">
        <v>137</v>
      </c>
    </row>
    <row r="22" spans="1:9" x14ac:dyDescent="0.35">
      <c r="A22" t="s">
        <v>124</v>
      </c>
      <c r="B22">
        <v>0</v>
      </c>
      <c r="C22" t="s">
        <v>124</v>
      </c>
      <c r="D22" t="s">
        <v>151</v>
      </c>
      <c r="E22" t="s">
        <v>14</v>
      </c>
      <c r="F22" t="s">
        <v>488</v>
      </c>
      <c r="G22" t="s">
        <v>152</v>
      </c>
      <c r="H22" t="s">
        <v>405</v>
      </c>
      <c r="I22" t="s">
        <v>138</v>
      </c>
    </row>
    <row r="23" spans="1:9" x14ac:dyDescent="0.35">
      <c r="A23" t="s">
        <v>125</v>
      </c>
      <c r="B23">
        <v>0</v>
      </c>
      <c r="C23" t="s">
        <v>125</v>
      </c>
      <c r="D23" t="s">
        <v>151</v>
      </c>
      <c r="E23" t="s">
        <v>14</v>
      </c>
      <c r="F23" t="s">
        <v>488</v>
      </c>
      <c r="G23" t="s">
        <v>153</v>
      </c>
      <c r="H23" t="s">
        <v>406</v>
      </c>
      <c r="I23" t="s">
        <v>139</v>
      </c>
    </row>
    <row r="24" spans="1:9" x14ac:dyDescent="0.35">
      <c r="A24" t="s">
        <v>126</v>
      </c>
      <c r="B24">
        <v>0</v>
      </c>
      <c r="C24" t="s">
        <v>126</v>
      </c>
      <c r="D24" t="s">
        <v>151</v>
      </c>
      <c r="E24" t="s">
        <v>14</v>
      </c>
      <c r="F24" t="s">
        <v>488</v>
      </c>
      <c r="G24" t="s">
        <v>22</v>
      </c>
      <c r="H24" t="s">
        <v>407</v>
      </c>
      <c r="I24" t="s">
        <v>140</v>
      </c>
    </row>
    <row r="25" spans="1:9" x14ac:dyDescent="0.35">
      <c r="A25" t="s">
        <v>127</v>
      </c>
      <c r="B25">
        <v>0</v>
      </c>
      <c r="C25" t="s">
        <v>127</v>
      </c>
      <c r="D25" t="s">
        <v>151</v>
      </c>
      <c r="E25" t="s">
        <v>14</v>
      </c>
      <c r="F25" t="s">
        <v>488</v>
      </c>
      <c r="G25" t="s">
        <v>19</v>
      </c>
      <c r="H25" t="s">
        <v>408</v>
      </c>
      <c r="I25" t="s">
        <v>141</v>
      </c>
    </row>
    <row r="26" spans="1:9" x14ac:dyDescent="0.35">
      <c r="A26" t="s">
        <v>128</v>
      </c>
      <c r="B26">
        <v>0</v>
      </c>
      <c r="C26" t="s">
        <v>128</v>
      </c>
      <c r="D26" t="s">
        <v>151</v>
      </c>
      <c r="E26" t="s">
        <v>14</v>
      </c>
      <c r="F26" t="s">
        <v>488</v>
      </c>
      <c r="G26" t="s">
        <v>23</v>
      </c>
      <c r="H26" t="s">
        <v>409</v>
      </c>
      <c r="I26" t="s">
        <v>142</v>
      </c>
    </row>
    <row r="27" spans="1:9" x14ac:dyDescent="0.35">
      <c r="A27" t="s">
        <v>129</v>
      </c>
      <c r="B27">
        <v>0</v>
      </c>
      <c r="C27" t="s">
        <v>129</v>
      </c>
      <c r="D27" t="s">
        <v>151</v>
      </c>
      <c r="E27" t="s">
        <v>35</v>
      </c>
      <c r="F27" t="s">
        <v>489</v>
      </c>
      <c r="H27" t="s">
        <v>410</v>
      </c>
      <c r="I27" t="s">
        <v>143</v>
      </c>
    </row>
    <row r="28" spans="1:9" x14ac:dyDescent="0.35">
      <c r="A28" t="s">
        <v>366</v>
      </c>
      <c r="B28">
        <v>1</v>
      </c>
      <c r="C28" t="s">
        <v>91</v>
      </c>
      <c r="D28" t="s">
        <v>81</v>
      </c>
      <c r="E28" t="s">
        <v>82</v>
      </c>
      <c r="F28" t="s">
        <v>486</v>
      </c>
      <c r="G28" t="s">
        <v>222</v>
      </c>
      <c r="H28" t="s">
        <v>411</v>
      </c>
      <c r="I28" t="s">
        <v>242</v>
      </c>
    </row>
    <row r="29" spans="1:9" x14ac:dyDescent="0.35">
      <c r="A29" t="s">
        <v>92</v>
      </c>
      <c r="B29">
        <v>0</v>
      </c>
      <c r="C29" t="s">
        <v>92</v>
      </c>
      <c r="D29" t="s">
        <v>81</v>
      </c>
      <c r="E29" t="s">
        <v>82</v>
      </c>
      <c r="F29" t="s">
        <v>486</v>
      </c>
      <c r="G29" t="s">
        <v>85</v>
      </c>
      <c r="H29" t="s">
        <v>412</v>
      </c>
      <c r="I29" t="s">
        <v>100</v>
      </c>
    </row>
    <row r="30" spans="1:9" x14ac:dyDescent="0.35">
      <c r="A30" t="s">
        <v>367</v>
      </c>
      <c r="B30">
        <v>1</v>
      </c>
      <c r="C30" t="s">
        <v>92</v>
      </c>
      <c r="D30" t="s">
        <v>81</v>
      </c>
      <c r="E30" t="s">
        <v>82</v>
      </c>
      <c r="F30" t="s">
        <v>486</v>
      </c>
      <c r="G30" t="s">
        <v>223</v>
      </c>
      <c r="H30" t="s">
        <v>413</v>
      </c>
      <c r="I30" t="s">
        <v>243</v>
      </c>
    </row>
    <row r="31" spans="1:9" x14ac:dyDescent="0.35">
      <c r="A31" t="s">
        <v>188</v>
      </c>
      <c r="B31">
        <v>0</v>
      </c>
      <c r="C31" t="s">
        <v>188</v>
      </c>
      <c r="D31" t="s">
        <v>165</v>
      </c>
      <c r="E31" t="s">
        <v>14</v>
      </c>
      <c r="F31" t="s">
        <v>490</v>
      </c>
      <c r="G31" t="s">
        <v>166</v>
      </c>
      <c r="H31" t="s">
        <v>414</v>
      </c>
      <c r="I31" t="s">
        <v>169</v>
      </c>
    </row>
    <row r="32" spans="1:9" x14ac:dyDescent="0.35">
      <c r="A32" t="s">
        <v>368</v>
      </c>
      <c r="B32">
        <v>1</v>
      </c>
      <c r="C32" t="s">
        <v>188</v>
      </c>
      <c r="D32" t="s">
        <v>165</v>
      </c>
      <c r="E32" t="s">
        <v>14</v>
      </c>
      <c r="F32" t="s">
        <v>490</v>
      </c>
      <c r="G32" t="s">
        <v>279</v>
      </c>
      <c r="H32" t="s">
        <v>415</v>
      </c>
      <c r="I32" t="s">
        <v>273</v>
      </c>
    </row>
    <row r="33" spans="1:9" x14ac:dyDescent="0.35">
      <c r="A33" t="s">
        <v>189</v>
      </c>
      <c r="B33">
        <v>0</v>
      </c>
      <c r="C33" t="s">
        <v>189</v>
      </c>
      <c r="D33" t="s">
        <v>165</v>
      </c>
      <c r="E33" t="s">
        <v>14</v>
      </c>
      <c r="F33" t="s">
        <v>490</v>
      </c>
      <c r="G33" t="s">
        <v>167</v>
      </c>
      <c r="H33" t="s">
        <v>416</v>
      </c>
      <c r="I33" t="s">
        <v>170</v>
      </c>
    </row>
    <row r="34" spans="1:9" x14ac:dyDescent="0.35">
      <c r="A34" t="s">
        <v>136</v>
      </c>
      <c r="B34">
        <v>0</v>
      </c>
      <c r="C34" t="s">
        <v>136</v>
      </c>
      <c r="D34" t="s">
        <v>151</v>
      </c>
      <c r="E34" t="s">
        <v>35</v>
      </c>
      <c r="F34" t="s">
        <v>489</v>
      </c>
      <c r="H34" t="s">
        <v>417</v>
      </c>
      <c r="I34" t="s">
        <v>150</v>
      </c>
    </row>
    <row r="35" spans="1:9" x14ac:dyDescent="0.35">
      <c r="A35" t="s">
        <v>369</v>
      </c>
      <c r="B35">
        <v>1</v>
      </c>
      <c r="C35" t="s">
        <v>189</v>
      </c>
      <c r="D35" t="s">
        <v>165</v>
      </c>
      <c r="E35" t="s">
        <v>14</v>
      </c>
      <c r="F35" t="s">
        <v>490</v>
      </c>
      <c r="G35" t="s">
        <v>281</v>
      </c>
      <c r="H35" t="s">
        <v>418</v>
      </c>
      <c r="I35" t="s">
        <v>275</v>
      </c>
    </row>
    <row r="36" spans="1:9" x14ac:dyDescent="0.35">
      <c r="A36" t="s">
        <v>190</v>
      </c>
      <c r="B36">
        <v>0</v>
      </c>
      <c r="C36" t="s">
        <v>190</v>
      </c>
      <c r="D36" t="s">
        <v>165</v>
      </c>
      <c r="E36" t="s">
        <v>14</v>
      </c>
      <c r="F36" t="s">
        <v>490</v>
      </c>
      <c r="G36" t="s">
        <v>168</v>
      </c>
      <c r="H36" t="s">
        <v>419</v>
      </c>
      <c r="I36" t="s">
        <v>171</v>
      </c>
    </row>
    <row r="37" spans="1:9" x14ac:dyDescent="0.35">
      <c r="A37" t="s">
        <v>370</v>
      </c>
      <c r="B37">
        <v>1</v>
      </c>
      <c r="C37" t="s">
        <v>190</v>
      </c>
      <c r="D37" t="s">
        <v>165</v>
      </c>
      <c r="E37" t="s">
        <v>14</v>
      </c>
      <c r="F37" t="s">
        <v>490</v>
      </c>
      <c r="G37" t="s">
        <v>280</v>
      </c>
      <c r="H37" t="s">
        <v>420</v>
      </c>
      <c r="I37" t="s">
        <v>274</v>
      </c>
    </row>
    <row r="38" spans="1:9" x14ac:dyDescent="0.35">
      <c r="A38" t="s">
        <v>191</v>
      </c>
      <c r="B38">
        <v>0</v>
      </c>
      <c r="C38" t="s">
        <v>191</v>
      </c>
      <c r="D38" t="s">
        <v>165</v>
      </c>
      <c r="E38" t="s">
        <v>14</v>
      </c>
      <c r="F38" t="s">
        <v>490</v>
      </c>
      <c r="G38" t="s">
        <v>83</v>
      </c>
      <c r="H38" t="s">
        <v>421</v>
      </c>
      <c r="I38" t="s">
        <v>172</v>
      </c>
    </row>
    <row r="39" spans="1:9" x14ac:dyDescent="0.35">
      <c r="A39" t="s">
        <v>192</v>
      </c>
      <c r="B39">
        <v>0</v>
      </c>
      <c r="C39" t="s">
        <v>192</v>
      </c>
      <c r="D39" t="s">
        <v>165</v>
      </c>
      <c r="E39" t="s">
        <v>35</v>
      </c>
      <c r="F39" t="s">
        <v>491</v>
      </c>
      <c r="H39" t="s">
        <v>422</v>
      </c>
      <c r="I39" t="s">
        <v>173</v>
      </c>
    </row>
    <row r="40" spans="1:9" x14ac:dyDescent="0.35">
      <c r="A40" t="s">
        <v>371</v>
      </c>
      <c r="B40">
        <v>1</v>
      </c>
      <c r="C40" t="s">
        <v>191</v>
      </c>
      <c r="D40" t="s">
        <v>165</v>
      </c>
      <c r="E40" t="s">
        <v>14</v>
      </c>
      <c r="F40" t="s">
        <v>490</v>
      </c>
      <c r="G40" t="s">
        <v>282</v>
      </c>
      <c r="H40" t="s">
        <v>423</v>
      </c>
      <c r="I40" t="s">
        <v>276</v>
      </c>
    </row>
    <row r="41" spans="1:9" x14ac:dyDescent="0.35">
      <c r="A41" t="s">
        <v>193</v>
      </c>
      <c r="B41">
        <v>0</v>
      </c>
      <c r="C41" t="s">
        <v>193</v>
      </c>
      <c r="D41" t="s">
        <v>165</v>
      </c>
      <c r="E41" t="s">
        <v>14</v>
      </c>
      <c r="F41" t="s">
        <v>490</v>
      </c>
      <c r="G41" t="s">
        <v>20</v>
      </c>
      <c r="H41" t="s">
        <v>424</v>
      </c>
      <c r="I41" t="s">
        <v>183</v>
      </c>
    </row>
    <row r="42" spans="1:9" x14ac:dyDescent="0.35">
      <c r="A42" t="s">
        <v>195</v>
      </c>
      <c r="B42">
        <v>0</v>
      </c>
      <c r="C42" t="s">
        <v>195</v>
      </c>
      <c r="D42" t="s">
        <v>165</v>
      </c>
      <c r="E42" t="s">
        <v>14</v>
      </c>
      <c r="F42" t="s">
        <v>490</v>
      </c>
      <c r="G42" t="s">
        <v>167</v>
      </c>
      <c r="H42" t="s">
        <v>416</v>
      </c>
      <c r="I42" t="s">
        <v>185</v>
      </c>
    </row>
    <row r="43" spans="1:9" x14ac:dyDescent="0.35">
      <c r="A43" t="s">
        <v>196</v>
      </c>
      <c r="B43">
        <v>0</v>
      </c>
      <c r="C43" t="s">
        <v>196</v>
      </c>
      <c r="D43" t="s">
        <v>165</v>
      </c>
      <c r="E43" t="s">
        <v>14</v>
      </c>
      <c r="F43" t="s">
        <v>490</v>
      </c>
      <c r="G43" t="s">
        <v>83</v>
      </c>
      <c r="H43" t="s">
        <v>421</v>
      </c>
      <c r="I43" t="s">
        <v>186</v>
      </c>
    </row>
    <row r="44" spans="1:9" x14ac:dyDescent="0.35">
      <c r="A44" t="s">
        <v>197</v>
      </c>
      <c r="B44">
        <v>0</v>
      </c>
      <c r="C44" t="s">
        <v>197</v>
      </c>
      <c r="D44" t="s">
        <v>165</v>
      </c>
      <c r="E44" t="s">
        <v>35</v>
      </c>
      <c r="F44" t="s">
        <v>491</v>
      </c>
      <c r="H44" t="s">
        <v>422</v>
      </c>
      <c r="I44" t="s">
        <v>187</v>
      </c>
    </row>
    <row r="45" spans="1:9" x14ac:dyDescent="0.35">
      <c r="A45" t="s">
        <v>372</v>
      </c>
      <c r="B45">
        <v>1</v>
      </c>
      <c r="C45" t="s">
        <v>193</v>
      </c>
      <c r="D45" t="s">
        <v>165</v>
      </c>
      <c r="E45" t="s">
        <v>14</v>
      </c>
      <c r="F45" t="s">
        <v>490</v>
      </c>
      <c r="G45" t="s">
        <v>20</v>
      </c>
      <c r="H45" t="s">
        <v>425</v>
      </c>
      <c r="I45" t="s">
        <v>277</v>
      </c>
    </row>
    <row r="46" spans="1:9" x14ac:dyDescent="0.35">
      <c r="A46" t="s">
        <v>194</v>
      </c>
      <c r="B46">
        <v>0</v>
      </c>
      <c r="C46" t="s">
        <v>194</v>
      </c>
      <c r="D46" t="s">
        <v>165</v>
      </c>
      <c r="E46" t="s">
        <v>14</v>
      </c>
      <c r="F46" t="s">
        <v>490</v>
      </c>
      <c r="G46" t="s">
        <v>182</v>
      </c>
      <c r="H46" t="s">
        <v>426</v>
      </c>
      <c r="I46" t="s">
        <v>184</v>
      </c>
    </row>
    <row r="47" spans="1:9" x14ac:dyDescent="0.35">
      <c r="A47" t="s">
        <v>373</v>
      </c>
      <c r="B47">
        <v>1</v>
      </c>
      <c r="C47" t="s">
        <v>194</v>
      </c>
      <c r="D47" t="s">
        <v>165</v>
      </c>
      <c r="E47" t="s">
        <v>14</v>
      </c>
      <c r="F47" t="s">
        <v>490</v>
      </c>
      <c r="G47" t="s">
        <v>182</v>
      </c>
      <c r="H47" t="s">
        <v>427</v>
      </c>
      <c r="I47" t="s">
        <v>278</v>
      </c>
    </row>
    <row r="48" spans="1:9" x14ac:dyDescent="0.35">
      <c r="A48" t="s">
        <v>130</v>
      </c>
      <c r="B48">
        <v>0</v>
      </c>
      <c r="C48" t="s">
        <v>130</v>
      </c>
      <c r="D48" t="s">
        <v>151</v>
      </c>
      <c r="E48" t="s">
        <v>14</v>
      </c>
      <c r="F48" t="s">
        <v>488</v>
      </c>
      <c r="G48" t="s">
        <v>25</v>
      </c>
      <c r="H48" t="s">
        <v>428</v>
      </c>
      <c r="I48" t="s">
        <v>144</v>
      </c>
    </row>
    <row r="49" spans="1:10" x14ac:dyDescent="0.35">
      <c r="A49" t="s">
        <v>374</v>
      </c>
      <c r="B49">
        <v>1</v>
      </c>
      <c r="C49" t="s">
        <v>130</v>
      </c>
      <c r="D49" t="s">
        <v>151</v>
      </c>
      <c r="E49" t="s">
        <v>14</v>
      </c>
      <c r="F49" t="s">
        <v>488</v>
      </c>
      <c r="G49" t="s">
        <v>25</v>
      </c>
      <c r="H49" t="s">
        <v>429</v>
      </c>
      <c r="I49" t="s">
        <v>255</v>
      </c>
    </row>
    <row r="50" spans="1:10" x14ac:dyDescent="0.35">
      <c r="A50" t="s">
        <v>131</v>
      </c>
      <c r="B50">
        <v>0</v>
      </c>
      <c r="C50" t="s">
        <v>131</v>
      </c>
      <c r="D50" t="s">
        <v>151</v>
      </c>
      <c r="E50" t="s">
        <v>14</v>
      </c>
      <c r="F50" t="s">
        <v>488</v>
      </c>
      <c r="G50" t="s">
        <v>152</v>
      </c>
      <c r="H50" t="s">
        <v>430</v>
      </c>
      <c r="I50" t="s">
        <v>145</v>
      </c>
    </row>
    <row r="51" spans="1:10" x14ac:dyDescent="0.35">
      <c r="A51" t="s">
        <v>375</v>
      </c>
      <c r="B51">
        <v>1</v>
      </c>
      <c r="C51" t="s">
        <v>131</v>
      </c>
      <c r="D51" t="s">
        <v>151</v>
      </c>
      <c r="E51" t="s">
        <v>14</v>
      </c>
      <c r="F51" t="s">
        <v>488</v>
      </c>
      <c r="G51" t="s">
        <v>152</v>
      </c>
      <c r="H51" t="s">
        <v>431</v>
      </c>
      <c r="I51" t="s">
        <v>256</v>
      </c>
    </row>
    <row r="52" spans="1:10" x14ac:dyDescent="0.35">
      <c r="A52" t="s">
        <v>132</v>
      </c>
      <c r="B52">
        <v>0</v>
      </c>
      <c r="C52" t="s">
        <v>132</v>
      </c>
      <c r="D52" t="s">
        <v>151</v>
      </c>
      <c r="E52" t="s">
        <v>14</v>
      </c>
      <c r="F52" t="s">
        <v>488</v>
      </c>
      <c r="G52" t="s">
        <v>155</v>
      </c>
      <c r="H52" t="s">
        <v>432</v>
      </c>
      <c r="I52" t="s">
        <v>146</v>
      </c>
    </row>
    <row r="53" spans="1:10" x14ac:dyDescent="0.35">
      <c r="A53" t="s">
        <v>376</v>
      </c>
      <c r="B53">
        <v>1</v>
      </c>
      <c r="C53" t="s">
        <v>132</v>
      </c>
      <c r="D53" t="s">
        <v>151</v>
      </c>
      <c r="E53" t="s">
        <v>14</v>
      </c>
      <c r="F53" t="s">
        <v>488</v>
      </c>
      <c r="G53" t="s">
        <v>155</v>
      </c>
      <c r="H53" t="s">
        <v>433</v>
      </c>
      <c r="I53" t="s">
        <v>257</v>
      </c>
    </row>
    <row r="54" spans="1:10" x14ac:dyDescent="0.35">
      <c r="A54" t="s">
        <v>133</v>
      </c>
      <c r="B54">
        <v>0</v>
      </c>
      <c r="C54" t="s">
        <v>133</v>
      </c>
      <c r="D54" t="s">
        <v>151</v>
      </c>
      <c r="E54" t="s">
        <v>14</v>
      </c>
      <c r="F54" t="s">
        <v>488</v>
      </c>
      <c r="G54" t="s">
        <v>22</v>
      </c>
      <c r="H54" t="s">
        <v>434</v>
      </c>
      <c r="I54" t="s">
        <v>147</v>
      </c>
    </row>
    <row r="55" spans="1:10" x14ac:dyDescent="0.35">
      <c r="A55" t="s">
        <v>377</v>
      </c>
      <c r="B55">
        <v>1</v>
      </c>
      <c r="C55" t="s">
        <v>133</v>
      </c>
      <c r="D55" t="s">
        <v>151</v>
      </c>
      <c r="E55" t="s">
        <v>14</v>
      </c>
      <c r="F55" t="s">
        <v>488</v>
      </c>
      <c r="G55" t="s">
        <v>22</v>
      </c>
      <c r="H55" t="s">
        <v>435</v>
      </c>
      <c r="I55" t="s">
        <v>259</v>
      </c>
    </row>
    <row r="56" spans="1:10" x14ac:dyDescent="0.35">
      <c r="A56" t="s">
        <v>134</v>
      </c>
      <c r="B56">
        <v>0</v>
      </c>
      <c r="C56" t="s">
        <v>134</v>
      </c>
      <c r="D56" t="s">
        <v>151</v>
      </c>
      <c r="E56" t="s">
        <v>14</v>
      </c>
      <c r="F56" t="s">
        <v>488</v>
      </c>
      <c r="G56" t="s">
        <v>19</v>
      </c>
      <c r="H56" t="s">
        <v>436</v>
      </c>
      <c r="I56" t="s">
        <v>148</v>
      </c>
    </row>
    <row r="57" spans="1:10" x14ac:dyDescent="0.35">
      <c r="A57" t="s">
        <v>378</v>
      </c>
      <c r="B57">
        <v>1</v>
      </c>
      <c r="C57" t="s">
        <v>134</v>
      </c>
      <c r="D57" t="s">
        <v>151</v>
      </c>
      <c r="E57" t="s">
        <v>14</v>
      </c>
      <c r="F57" t="s">
        <v>488</v>
      </c>
      <c r="G57" t="s">
        <v>19</v>
      </c>
      <c r="H57" t="s">
        <v>437</v>
      </c>
      <c r="I57" t="s">
        <v>258</v>
      </c>
    </row>
    <row r="58" spans="1:10" x14ac:dyDescent="0.35">
      <c r="A58" t="s">
        <v>135</v>
      </c>
      <c r="B58">
        <v>0</v>
      </c>
      <c r="C58" t="s">
        <v>135</v>
      </c>
      <c r="D58" t="s">
        <v>151</v>
      </c>
      <c r="E58" t="s">
        <v>14</v>
      </c>
      <c r="F58" t="s">
        <v>488</v>
      </c>
      <c r="G58" t="s">
        <v>23</v>
      </c>
      <c r="H58" t="s">
        <v>438</v>
      </c>
      <c r="I58" t="s">
        <v>149</v>
      </c>
    </row>
    <row r="59" spans="1:10" x14ac:dyDescent="0.35">
      <c r="A59" t="s">
        <v>379</v>
      </c>
      <c r="B59">
        <v>1</v>
      </c>
      <c r="C59" t="s">
        <v>135</v>
      </c>
      <c r="D59" t="s">
        <v>151</v>
      </c>
      <c r="E59" t="s">
        <v>14</v>
      </c>
      <c r="F59" t="s">
        <v>488</v>
      </c>
      <c r="G59" t="s">
        <v>23</v>
      </c>
      <c r="H59" t="s">
        <v>439</v>
      </c>
      <c r="I59" t="s">
        <v>260</v>
      </c>
    </row>
    <row r="60" spans="1:10" x14ac:dyDescent="0.35">
      <c r="A60" t="s">
        <v>63</v>
      </c>
      <c r="B60">
        <v>0</v>
      </c>
      <c r="C60" t="s">
        <v>63</v>
      </c>
      <c r="D60" t="s">
        <v>8</v>
      </c>
      <c r="E60" t="s">
        <v>14</v>
      </c>
      <c r="F60" t="s">
        <v>46</v>
      </c>
      <c r="G60" t="s">
        <v>25</v>
      </c>
      <c r="H60" t="s">
        <v>440</v>
      </c>
      <c r="I60" t="s">
        <v>54</v>
      </c>
    </row>
    <row r="61" spans="1:10" x14ac:dyDescent="0.35">
      <c r="A61" t="s">
        <v>380</v>
      </c>
      <c r="B61">
        <v>1</v>
      </c>
      <c r="C61" t="s">
        <v>63</v>
      </c>
      <c r="D61" t="s">
        <v>8</v>
      </c>
      <c r="E61" t="s">
        <v>14</v>
      </c>
      <c r="F61" t="s">
        <v>46</v>
      </c>
      <c r="G61" t="s">
        <v>25</v>
      </c>
      <c r="H61" t="s">
        <v>441</v>
      </c>
      <c r="I61" t="s">
        <v>198</v>
      </c>
      <c r="J61" t="s">
        <v>494</v>
      </c>
    </row>
    <row r="62" spans="1:10" x14ac:dyDescent="0.35">
      <c r="A62" t="s">
        <v>64</v>
      </c>
      <c r="B62">
        <v>0</v>
      </c>
      <c r="C62" t="s">
        <v>64</v>
      </c>
      <c r="D62" t="s">
        <v>8</v>
      </c>
      <c r="E62" t="s">
        <v>14</v>
      </c>
      <c r="F62" t="s">
        <v>46</v>
      </c>
      <c r="G62" t="s">
        <v>18</v>
      </c>
      <c r="H62" t="s">
        <v>442</v>
      </c>
      <c r="I62" t="s">
        <v>55</v>
      </c>
    </row>
    <row r="63" spans="1:10" x14ac:dyDescent="0.35">
      <c r="A63" t="s">
        <v>381</v>
      </c>
      <c r="B63">
        <v>1</v>
      </c>
      <c r="C63" t="s">
        <v>64</v>
      </c>
      <c r="D63" t="s">
        <v>8</v>
      </c>
      <c r="E63" t="s">
        <v>14</v>
      </c>
      <c r="F63" t="s">
        <v>46</v>
      </c>
      <c r="G63" t="s">
        <v>18</v>
      </c>
      <c r="H63" t="s">
        <v>443</v>
      </c>
      <c r="I63" t="s">
        <v>199</v>
      </c>
      <c r="J63" t="s">
        <v>497</v>
      </c>
    </row>
    <row r="64" spans="1:10" x14ac:dyDescent="0.35">
      <c r="A64" t="s">
        <v>65</v>
      </c>
      <c r="B64">
        <v>0</v>
      </c>
      <c r="C64" t="s">
        <v>65</v>
      </c>
      <c r="D64" t="s">
        <v>8</v>
      </c>
      <c r="E64" t="s">
        <v>14</v>
      </c>
      <c r="F64" t="s">
        <v>46</v>
      </c>
      <c r="G64" t="s">
        <v>19</v>
      </c>
      <c r="H64" t="s">
        <v>444</v>
      </c>
      <c r="I64" t="s">
        <v>56</v>
      </c>
    </row>
    <row r="65" spans="1:10" x14ac:dyDescent="0.35">
      <c r="A65" t="s">
        <v>382</v>
      </c>
      <c r="B65">
        <v>1</v>
      </c>
      <c r="C65" t="s">
        <v>65</v>
      </c>
      <c r="D65" t="s">
        <v>8</v>
      </c>
      <c r="E65" t="s">
        <v>14</v>
      </c>
      <c r="F65" t="s">
        <v>46</v>
      </c>
      <c r="G65" t="s">
        <v>19</v>
      </c>
      <c r="H65" t="s">
        <v>445</v>
      </c>
      <c r="I65" t="s">
        <v>200</v>
      </c>
      <c r="J65" t="s">
        <v>498</v>
      </c>
    </row>
    <row r="66" spans="1:10" x14ac:dyDescent="0.35">
      <c r="A66" t="s">
        <v>66</v>
      </c>
      <c r="B66">
        <v>0</v>
      </c>
      <c r="C66" t="s">
        <v>66</v>
      </c>
      <c r="D66" t="s">
        <v>8</v>
      </c>
      <c r="E66" t="s">
        <v>14</v>
      </c>
      <c r="F66" t="s">
        <v>46</v>
      </c>
      <c r="G66" t="s">
        <v>23</v>
      </c>
      <c r="H66" t="s">
        <v>446</v>
      </c>
      <c r="I66" t="s">
        <v>57</v>
      </c>
    </row>
    <row r="67" spans="1:10" x14ac:dyDescent="0.35">
      <c r="A67" t="s">
        <v>383</v>
      </c>
      <c r="B67">
        <v>1</v>
      </c>
      <c r="C67" t="s">
        <v>66</v>
      </c>
      <c r="D67" t="s">
        <v>8</v>
      </c>
      <c r="E67" t="s">
        <v>14</v>
      </c>
      <c r="F67" t="s">
        <v>46</v>
      </c>
      <c r="G67" t="s">
        <v>23</v>
      </c>
      <c r="H67" t="s">
        <v>447</v>
      </c>
      <c r="I67" t="s">
        <v>201</v>
      </c>
      <c r="J67" t="s">
        <v>495</v>
      </c>
    </row>
    <row r="68" spans="1:10" x14ac:dyDescent="0.35">
      <c r="A68" t="s">
        <v>67</v>
      </c>
      <c r="B68">
        <v>0</v>
      </c>
      <c r="C68" t="s">
        <v>67</v>
      </c>
      <c r="D68" t="s">
        <v>8</v>
      </c>
      <c r="E68" t="s">
        <v>14</v>
      </c>
      <c r="F68" t="s">
        <v>46</v>
      </c>
      <c r="G68" t="s">
        <v>16</v>
      </c>
      <c r="H68" t="s">
        <v>448</v>
      </c>
      <c r="I68" t="s">
        <v>58</v>
      </c>
    </row>
    <row r="69" spans="1:10" x14ac:dyDescent="0.35">
      <c r="A69" t="s">
        <v>384</v>
      </c>
      <c r="B69">
        <v>1</v>
      </c>
      <c r="C69" t="s">
        <v>67</v>
      </c>
      <c r="D69" t="s">
        <v>8</v>
      </c>
      <c r="E69" t="s">
        <v>14</v>
      </c>
      <c r="F69" t="s">
        <v>46</v>
      </c>
      <c r="G69" t="s">
        <v>16</v>
      </c>
      <c r="H69" t="s">
        <v>449</v>
      </c>
      <c r="I69" t="s">
        <v>202</v>
      </c>
      <c r="J69" t="s">
        <v>496</v>
      </c>
    </row>
    <row r="70" spans="1:10" x14ac:dyDescent="0.35">
      <c r="A70" t="s">
        <v>68</v>
      </c>
      <c r="B70">
        <v>0</v>
      </c>
      <c r="C70" t="s">
        <v>68</v>
      </c>
      <c r="D70" t="s">
        <v>8</v>
      </c>
      <c r="E70" t="s">
        <v>14</v>
      </c>
      <c r="F70" t="s">
        <v>46</v>
      </c>
      <c r="G70" t="s">
        <v>52</v>
      </c>
      <c r="H70" t="s">
        <v>450</v>
      </c>
      <c r="I70" t="s">
        <v>59</v>
      </c>
    </row>
    <row r="71" spans="1:10" x14ac:dyDescent="0.35">
      <c r="A71" t="s">
        <v>385</v>
      </c>
      <c r="B71">
        <v>1</v>
      </c>
      <c r="C71" t="s">
        <v>68</v>
      </c>
      <c r="D71" t="s">
        <v>8</v>
      </c>
      <c r="E71" t="s">
        <v>14</v>
      </c>
      <c r="F71" t="s">
        <v>46</v>
      </c>
      <c r="G71" t="s">
        <v>21</v>
      </c>
      <c r="H71" t="s">
        <v>451</v>
      </c>
      <c r="I71" t="s">
        <v>203</v>
      </c>
      <c r="J71" t="s">
        <v>499</v>
      </c>
    </row>
    <row r="72" spans="1:10" x14ac:dyDescent="0.35">
      <c r="A72" t="s">
        <v>71</v>
      </c>
      <c r="B72">
        <v>0</v>
      </c>
      <c r="C72" t="s">
        <v>71</v>
      </c>
      <c r="D72" t="s">
        <v>8</v>
      </c>
      <c r="E72" t="s">
        <v>14</v>
      </c>
      <c r="F72" t="s">
        <v>46</v>
      </c>
      <c r="G72" t="s">
        <v>205</v>
      </c>
      <c r="H72" t="s">
        <v>452</v>
      </c>
      <c r="I72" t="s">
        <v>62</v>
      </c>
    </row>
    <row r="73" spans="1:10" x14ac:dyDescent="0.35">
      <c r="A73" t="s">
        <v>295</v>
      </c>
      <c r="B73">
        <v>0</v>
      </c>
      <c r="C73" t="s">
        <v>295</v>
      </c>
      <c r="D73" t="s">
        <v>81</v>
      </c>
      <c r="E73" t="s">
        <v>82</v>
      </c>
      <c r="F73" t="s">
        <v>486</v>
      </c>
      <c r="G73" t="s">
        <v>20</v>
      </c>
      <c r="H73" t="s">
        <v>453</v>
      </c>
      <c r="I73" t="s">
        <v>296</v>
      </c>
    </row>
    <row r="74" spans="1:10" x14ac:dyDescent="0.35">
      <c r="A74" t="s">
        <v>386</v>
      </c>
      <c r="B74">
        <v>1</v>
      </c>
      <c r="C74" t="s">
        <v>71</v>
      </c>
      <c r="D74" t="s">
        <v>8</v>
      </c>
      <c r="E74" t="s">
        <v>14</v>
      </c>
      <c r="F74" t="s">
        <v>46</v>
      </c>
      <c r="G74" t="s">
        <v>205</v>
      </c>
      <c r="H74" t="s">
        <v>454</v>
      </c>
      <c r="I74" t="s">
        <v>204</v>
      </c>
    </row>
    <row r="75" spans="1:10" x14ac:dyDescent="0.35">
      <c r="A75" t="s">
        <v>302</v>
      </c>
      <c r="B75">
        <v>0</v>
      </c>
      <c r="C75" t="s">
        <v>302</v>
      </c>
      <c r="D75" t="s">
        <v>81</v>
      </c>
      <c r="E75" t="s">
        <v>82</v>
      </c>
      <c r="F75" t="s">
        <v>486</v>
      </c>
      <c r="G75" t="s">
        <v>84</v>
      </c>
      <c r="H75" t="s">
        <v>455</v>
      </c>
      <c r="I75" t="s">
        <v>299</v>
      </c>
    </row>
    <row r="76" spans="1:10" x14ac:dyDescent="0.35">
      <c r="A76" t="s">
        <v>303</v>
      </c>
      <c r="B76">
        <v>0</v>
      </c>
      <c r="C76" t="s">
        <v>303</v>
      </c>
      <c r="D76" t="s">
        <v>81</v>
      </c>
      <c r="E76" t="s">
        <v>82</v>
      </c>
      <c r="F76" t="s">
        <v>486</v>
      </c>
      <c r="G76" t="s">
        <v>24</v>
      </c>
      <c r="H76" t="s">
        <v>456</v>
      </c>
      <c r="I76" t="s">
        <v>300</v>
      </c>
    </row>
    <row r="77" spans="1:10" x14ac:dyDescent="0.35">
      <c r="A77" t="s">
        <v>304</v>
      </c>
      <c r="B77">
        <v>0</v>
      </c>
      <c r="C77" t="s">
        <v>304</v>
      </c>
      <c r="D77" t="s">
        <v>81</v>
      </c>
      <c r="E77" t="s">
        <v>82</v>
      </c>
      <c r="F77" t="s">
        <v>486</v>
      </c>
      <c r="G77" t="s">
        <v>83</v>
      </c>
      <c r="H77" t="s">
        <v>457</v>
      </c>
      <c r="I77" t="s">
        <v>301</v>
      </c>
    </row>
    <row r="78" spans="1:10" x14ac:dyDescent="0.35">
      <c r="A78" t="s">
        <v>305</v>
      </c>
      <c r="B78">
        <v>0</v>
      </c>
      <c r="C78" t="s">
        <v>305</v>
      </c>
      <c r="D78" t="s">
        <v>81</v>
      </c>
      <c r="E78" t="s">
        <v>35</v>
      </c>
      <c r="F78" t="s">
        <v>487</v>
      </c>
      <c r="H78" t="s">
        <v>458</v>
      </c>
      <c r="I78" t="s">
        <v>306</v>
      </c>
    </row>
    <row r="79" spans="1:10" x14ac:dyDescent="0.35">
      <c r="A79" t="s">
        <v>309</v>
      </c>
      <c r="B79">
        <v>0</v>
      </c>
      <c r="C79" t="s">
        <v>309</v>
      </c>
      <c r="D79" t="s">
        <v>81</v>
      </c>
      <c r="E79" t="s">
        <v>82</v>
      </c>
      <c r="F79" t="s">
        <v>486</v>
      </c>
      <c r="G79" t="s">
        <v>83</v>
      </c>
      <c r="H79" t="s">
        <v>459</v>
      </c>
      <c r="I79" t="s">
        <v>310</v>
      </c>
    </row>
    <row r="80" spans="1:10" x14ac:dyDescent="0.35">
      <c r="A80" t="s">
        <v>311</v>
      </c>
      <c r="B80">
        <v>0</v>
      </c>
      <c r="C80" t="s">
        <v>311</v>
      </c>
      <c r="D80" t="s">
        <v>81</v>
      </c>
      <c r="E80" t="s">
        <v>82</v>
      </c>
      <c r="F80" t="s">
        <v>486</v>
      </c>
      <c r="G80" t="s">
        <v>84</v>
      </c>
      <c r="H80" t="s">
        <v>460</v>
      </c>
      <c r="I80" t="s">
        <v>312</v>
      </c>
    </row>
    <row r="81" spans="1:9" x14ac:dyDescent="0.35">
      <c r="A81" t="s">
        <v>313</v>
      </c>
      <c r="B81">
        <v>0</v>
      </c>
      <c r="C81" t="s">
        <v>313</v>
      </c>
      <c r="D81" t="s">
        <v>81</v>
      </c>
      <c r="E81" t="s">
        <v>82</v>
      </c>
      <c r="F81" t="s">
        <v>486</v>
      </c>
      <c r="G81" t="s">
        <v>85</v>
      </c>
      <c r="H81" t="s">
        <v>461</v>
      </c>
      <c r="I81" t="s">
        <v>314</v>
      </c>
    </row>
    <row r="82" spans="1:9" x14ac:dyDescent="0.35">
      <c r="A82" t="s">
        <v>315</v>
      </c>
      <c r="B82">
        <v>0</v>
      </c>
      <c r="C82" t="s">
        <v>315</v>
      </c>
      <c r="D82" t="s">
        <v>81</v>
      </c>
      <c r="E82" t="s">
        <v>82</v>
      </c>
      <c r="F82" t="s">
        <v>486</v>
      </c>
      <c r="G82" t="s">
        <v>24</v>
      </c>
      <c r="H82" t="s">
        <v>462</v>
      </c>
      <c r="I82" t="s">
        <v>316</v>
      </c>
    </row>
    <row r="83" spans="1:9" x14ac:dyDescent="0.35">
      <c r="A83" t="s">
        <v>317</v>
      </c>
      <c r="B83">
        <v>0</v>
      </c>
      <c r="C83" t="s">
        <v>317</v>
      </c>
      <c r="D83" t="s">
        <v>81</v>
      </c>
      <c r="E83" t="s">
        <v>82</v>
      </c>
      <c r="F83" t="s">
        <v>486</v>
      </c>
      <c r="G83" t="s">
        <v>166</v>
      </c>
      <c r="H83" t="s">
        <v>463</v>
      </c>
      <c r="I83" t="s">
        <v>318</v>
      </c>
    </row>
    <row r="84" spans="1:9" x14ac:dyDescent="0.35">
      <c r="A84" t="s">
        <v>319</v>
      </c>
      <c r="B84">
        <v>0</v>
      </c>
      <c r="C84" t="s">
        <v>319</v>
      </c>
      <c r="D84" t="s">
        <v>81</v>
      </c>
      <c r="E84" t="s">
        <v>35</v>
      </c>
      <c r="F84" t="s">
        <v>487</v>
      </c>
      <c r="H84" t="s">
        <v>464</v>
      </c>
      <c r="I84" t="s">
        <v>320</v>
      </c>
    </row>
    <row r="85" spans="1:9" x14ac:dyDescent="0.35">
      <c r="A85" t="s">
        <v>321</v>
      </c>
      <c r="B85">
        <v>0</v>
      </c>
      <c r="C85" t="s">
        <v>321</v>
      </c>
      <c r="D85" t="s">
        <v>81</v>
      </c>
      <c r="E85" t="s">
        <v>35</v>
      </c>
      <c r="F85" t="s">
        <v>487</v>
      </c>
      <c r="H85" t="s">
        <v>464</v>
      </c>
      <c r="I85" t="s">
        <v>322</v>
      </c>
    </row>
    <row r="86" spans="1:9" x14ac:dyDescent="0.35">
      <c r="A86" t="s">
        <v>323</v>
      </c>
      <c r="B86">
        <v>0</v>
      </c>
      <c r="C86" t="s">
        <v>323</v>
      </c>
      <c r="D86" t="s">
        <v>81</v>
      </c>
      <c r="E86" t="s">
        <v>82</v>
      </c>
      <c r="F86" t="s">
        <v>486</v>
      </c>
      <c r="G86" t="s">
        <v>85</v>
      </c>
      <c r="H86" t="s">
        <v>465</v>
      </c>
      <c r="I86" t="s">
        <v>324</v>
      </c>
    </row>
    <row r="87" spans="1:9" x14ac:dyDescent="0.35">
      <c r="A87" t="s">
        <v>325</v>
      </c>
      <c r="B87">
        <v>0</v>
      </c>
      <c r="C87" t="s">
        <v>325</v>
      </c>
      <c r="D87" t="s">
        <v>81</v>
      </c>
      <c r="E87" t="s">
        <v>82</v>
      </c>
      <c r="F87" t="s">
        <v>486</v>
      </c>
      <c r="G87" t="s">
        <v>20</v>
      </c>
      <c r="H87" t="s">
        <v>466</v>
      </c>
      <c r="I87" t="s">
        <v>324</v>
      </c>
    </row>
    <row r="88" spans="1:9" x14ac:dyDescent="0.35">
      <c r="A88" t="s">
        <v>326</v>
      </c>
      <c r="B88">
        <v>0</v>
      </c>
      <c r="C88" t="s">
        <v>326</v>
      </c>
      <c r="D88" t="s">
        <v>81</v>
      </c>
      <c r="E88" t="s">
        <v>14</v>
      </c>
      <c r="F88" t="s">
        <v>492</v>
      </c>
      <c r="G88" t="s">
        <v>222</v>
      </c>
      <c r="H88" t="s">
        <v>467</v>
      </c>
      <c r="I88" t="s">
        <v>327</v>
      </c>
    </row>
    <row r="89" spans="1:9" x14ac:dyDescent="0.35">
      <c r="A89" t="s">
        <v>329</v>
      </c>
      <c r="B89">
        <v>0</v>
      </c>
      <c r="C89" t="s">
        <v>329</v>
      </c>
      <c r="D89" t="s">
        <v>81</v>
      </c>
      <c r="E89" t="s">
        <v>14</v>
      </c>
      <c r="F89" t="s">
        <v>492</v>
      </c>
      <c r="G89" t="s">
        <v>84</v>
      </c>
      <c r="H89" t="s">
        <v>468</v>
      </c>
      <c r="I89" t="s">
        <v>330</v>
      </c>
    </row>
    <row r="90" spans="1:9" x14ac:dyDescent="0.35">
      <c r="A90" t="s">
        <v>331</v>
      </c>
      <c r="B90">
        <v>0</v>
      </c>
      <c r="C90" t="s">
        <v>331</v>
      </c>
      <c r="D90" t="s">
        <v>81</v>
      </c>
      <c r="E90" t="s">
        <v>14</v>
      </c>
      <c r="F90" t="s">
        <v>492</v>
      </c>
      <c r="G90" t="s">
        <v>85</v>
      </c>
      <c r="H90" t="s">
        <v>469</v>
      </c>
      <c r="I90" t="s">
        <v>332</v>
      </c>
    </row>
    <row r="91" spans="1:9" x14ac:dyDescent="0.35">
      <c r="A91" t="s">
        <v>333</v>
      </c>
      <c r="B91">
        <v>0</v>
      </c>
      <c r="C91" t="s">
        <v>333</v>
      </c>
      <c r="D91" t="s">
        <v>81</v>
      </c>
      <c r="E91" t="s">
        <v>14</v>
      </c>
      <c r="F91" t="s">
        <v>492</v>
      </c>
      <c r="G91" t="s">
        <v>20</v>
      </c>
      <c r="H91" t="s">
        <v>470</v>
      </c>
      <c r="I91" t="s">
        <v>334</v>
      </c>
    </row>
    <row r="92" spans="1:9" x14ac:dyDescent="0.35">
      <c r="A92" t="s">
        <v>335</v>
      </c>
      <c r="B92">
        <v>0</v>
      </c>
      <c r="C92" t="s">
        <v>335</v>
      </c>
      <c r="D92" t="s">
        <v>81</v>
      </c>
      <c r="E92" t="s">
        <v>35</v>
      </c>
      <c r="F92" t="s">
        <v>487</v>
      </c>
      <c r="H92" t="s">
        <v>471</v>
      </c>
      <c r="I92" t="s">
        <v>336</v>
      </c>
    </row>
    <row r="93" spans="1:9" x14ac:dyDescent="0.35">
      <c r="A93" t="s">
        <v>337</v>
      </c>
      <c r="B93">
        <v>0</v>
      </c>
      <c r="C93" t="s">
        <v>337</v>
      </c>
      <c r="D93" t="s">
        <v>81</v>
      </c>
      <c r="E93" t="s">
        <v>35</v>
      </c>
      <c r="F93" t="s">
        <v>487</v>
      </c>
      <c r="H93" t="s">
        <v>472</v>
      </c>
      <c r="I93" t="s">
        <v>338</v>
      </c>
    </row>
    <row r="94" spans="1:9" x14ac:dyDescent="0.35">
      <c r="A94" t="s">
        <v>339</v>
      </c>
      <c r="B94">
        <v>0</v>
      </c>
      <c r="C94" t="s">
        <v>339</v>
      </c>
      <c r="D94" t="s">
        <v>81</v>
      </c>
      <c r="E94" t="s">
        <v>112</v>
      </c>
      <c r="F94" t="s">
        <v>485</v>
      </c>
      <c r="G94" t="s">
        <v>182</v>
      </c>
      <c r="H94" t="s">
        <v>473</v>
      </c>
      <c r="I94" t="s">
        <v>340</v>
      </c>
    </row>
    <row r="95" spans="1:9" x14ac:dyDescent="0.35">
      <c r="A95" t="s">
        <v>341</v>
      </c>
      <c r="B95">
        <v>0</v>
      </c>
      <c r="C95" t="s">
        <v>341</v>
      </c>
      <c r="D95" t="s">
        <v>81</v>
      </c>
      <c r="E95" t="s">
        <v>112</v>
      </c>
      <c r="F95" t="s">
        <v>485</v>
      </c>
      <c r="G95" t="s">
        <v>114</v>
      </c>
      <c r="H95" t="s">
        <v>474</v>
      </c>
      <c r="I95" t="s">
        <v>342</v>
      </c>
    </row>
    <row r="96" spans="1:9" x14ac:dyDescent="0.35">
      <c r="A96" t="s">
        <v>343</v>
      </c>
      <c r="B96">
        <v>0</v>
      </c>
      <c r="C96" t="s">
        <v>343</v>
      </c>
      <c r="D96" t="s">
        <v>81</v>
      </c>
      <c r="E96" t="s">
        <v>112</v>
      </c>
      <c r="F96" t="s">
        <v>485</v>
      </c>
      <c r="G96" t="s">
        <v>22</v>
      </c>
      <c r="H96" t="s">
        <v>475</v>
      </c>
      <c r="I96" t="s">
        <v>344</v>
      </c>
    </row>
    <row r="97" spans="1:10" x14ac:dyDescent="0.35">
      <c r="A97" t="s">
        <v>345</v>
      </c>
      <c r="B97">
        <v>0</v>
      </c>
      <c r="C97" t="s">
        <v>345</v>
      </c>
      <c r="D97" t="s">
        <v>81</v>
      </c>
      <c r="E97" t="s">
        <v>112</v>
      </c>
      <c r="F97" t="s">
        <v>485</v>
      </c>
      <c r="G97" t="s">
        <v>182</v>
      </c>
      <c r="H97" t="s">
        <v>476</v>
      </c>
      <c r="I97" t="s">
        <v>346</v>
      </c>
    </row>
    <row r="98" spans="1:10" x14ac:dyDescent="0.35">
      <c r="A98" t="s">
        <v>347</v>
      </c>
      <c r="B98">
        <v>0</v>
      </c>
      <c r="C98" t="s">
        <v>347</v>
      </c>
      <c r="D98" t="s">
        <v>81</v>
      </c>
      <c r="E98" t="s">
        <v>112</v>
      </c>
      <c r="F98" t="s">
        <v>485</v>
      </c>
      <c r="G98" t="s">
        <v>114</v>
      </c>
      <c r="H98" t="s">
        <v>477</v>
      </c>
      <c r="I98" t="s">
        <v>348</v>
      </c>
    </row>
    <row r="99" spans="1:10" x14ac:dyDescent="0.35">
      <c r="A99" t="s">
        <v>349</v>
      </c>
      <c r="B99">
        <v>0</v>
      </c>
      <c r="C99" t="s">
        <v>349</v>
      </c>
      <c r="D99" t="s">
        <v>81</v>
      </c>
      <c r="E99" t="s">
        <v>351</v>
      </c>
      <c r="F99" t="s">
        <v>493</v>
      </c>
      <c r="G99" t="s">
        <v>352</v>
      </c>
      <c r="H99" t="s">
        <v>478</v>
      </c>
      <c r="I99" t="s">
        <v>350</v>
      </c>
    </row>
    <row r="100" spans="1:10" x14ac:dyDescent="0.35">
      <c r="A100" t="s">
        <v>353</v>
      </c>
      <c r="B100">
        <v>0</v>
      </c>
      <c r="C100" t="s">
        <v>353</v>
      </c>
      <c r="D100" t="s">
        <v>81</v>
      </c>
      <c r="E100" t="s">
        <v>351</v>
      </c>
      <c r="F100" t="s">
        <v>493</v>
      </c>
      <c r="G100" t="s">
        <v>167</v>
      </c>
      <c r="H100" t="s">
        <v>479</v>
      </c>
      <c r="I100" t="s">
        <v>354</v>
      </c>
    </row>
    <row r="101" spans="1:10" x14ac:dyDescent="0.35">
      <c r="B101">
        <v>1</v>
      </c>
      <c r="D101" t="s">
        <v>8</v>
      </c>
      <c r="E101" t="s">
        <v>14</v>
      </c>
      <c r="F101" t="s">
        <v>46</v>
      </c>
      <c r="G101" t="s">
        <v>500</v>
      </c>
      <c r="H101" t="s">
        <v>508</v>
      </c>
      <c r="J101" t="s">
        <v>503</v>
      </c>
    </row>
    <row r="102" spans="1:10" x14ac:dyDescent="0.35">
      <c r="B102">
        <v>1</v>
      </c>
      <c r="D102" t="s">
        <v>8</v>
      </c>
      <c r="E102" t="s">
        <v>14</v>
      </c>
      <c r="F102" t="s">
        <v>46</v>
      </c>
      <c r="G102" t="s">
        <v>20</v>
      </c>
      <c r="H102" t="s">
        <v>509</v>
      </c>
      <c r="J102" t="s">
        <v>504</v>
      </c>
    </row>
    <row r="103" spans="1:10" x14ac:dyDescent="0.35">
      <c r="B103">
        <v>1</v>
      </c>
      <c r="D103" t="s">
        <v>8</v>
      </c>
      <c r="E103" t="s">
        <v>14</v>
      </c>
      <c r="F103" t="s">
        <v>46</v>
      </c>
      <c r="G103" t="s">
        <v>501</v>
      </c>
      <c r="H103" t="s">
        <v>510</v>
      </c>
      <c r="J103" t="s">
        <v>505</v>
      </c>
    </row>
    <row r="104" spans="1:10" x14ac:dyDescent="0.35">
      <c r="B104">
        <v>1</v>
      </c>
      <c r="D104" t="s">
        <v>8</v>
      </c>
      <c r="E104" t="s">
        <v>14</v>
      </c>
      <c r="F104" t="s">
        <v>46</v>
      </c>
      <c r="G104" t="s">
        <v>502</v>
      </c>
      <c r="H104" t="s">
        <v>511</v>
      </c>
      <c r="J104" t="s">
        <v>506</v>
      </c>
    </row>
    <row r="105" spans="1:10" x14ac:dyDescent="0.35">
      <c r="B105">
        <v>1</v>
      </c>
      <c r="D105" t="s">
        <v>8</v>
      </c>
      <c r="E105" t="s">
        <v>14</v>
      </c>
      <c r="F105" t="s">
        <v>46</v>
      </c>
      <c r="G105" t="s">
        <v>22</v>
      </c>
      <c r="H105" t="s">
        <v>512</v>
      </c>
      <c r="J105" s="2" t="s">
        <v>507</v>
      </c>
    </row>
  </sheetData>
  <autoFilter ref="A1:M105" xr:uid="{AAF94BDB-2C40-46E5-95D4-019C7EB22689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2C3D8-79D8-4E03-98B4-87166FC0BC53}">
  <dimension ref="A1:I6"/>
  <sheetViews>
    <sheetView workbookViewId="0">
      <selection activeCell="F7" sqref="F7"/>
    </sheetView>
  </sheetViews>
  <sheetFormatPr defaultRowHeight="14.5" x14ac:dyDescent="0.35"/>
  <cols>
    <col min="1" max="1" width="16.81640625" customWidth="1"/>
    <col min="2" max="2" width="20.26953125" customWidth="1"/>
    <col min="3" max="3" width="18.1796875" customWidth="1"/>
    <col min="4" max="4" width="12.453125" customWidth="1"/>
    <col min="5" max="5" width="13.08984375" customWidth="1"/>
    <col min="6" max="6" width="16.54296875" customWidth="1"/>
    <col min="8" max="8" width="20" bestFit="1" customWidth="1"/>
  </cols>
  <sheetData>
    <row r="1" spans="1:9" x14ac:dyDescent="0.35">
      <c r="A1" t="s">
        <v>2</v>
      </c>
      <c r="B1" t="s">
        <v>26</v>
      </c>
      <c r="D1" t="s">
        <v>3</v>
      </c>
      <c r="E1" t="s">
        <v>4</v>
      </c>
      <c r="F1" t="s">
        <v>28</v>
      </c>
      <c r="H1" t="s">
        <v>6</v>
      </c>
      <c r="I1" t="s">
        <v>48</v>
      </c>
    </row>
    <row r="2" spans="1:9" x14ac:dyDescent="0.35">
      <c r="A2" t="s">
        <v>38</v>
      </c>
      <c r="B2" t="s">
        <v>37</v>
      </c>
      <c r="D2" t="s">
        <v>39</v>
      </c>
      <c r="E2" t="s">
        <v>36</v>
      </c>
      <c r="F2" t="s">
        <v>40</v>
      </c>
      <c r="H2" t="s">
        <v>46</v>
      </c>
      <c r="I2" t="s">
        <v>49</v>
      </c>
    </row>
    <row r="3" spans="1:9" x14ac:dyDescent="0.35">
      <c r="A3" t="s">
        <v>9</v>
      </c>
      <c r="B3" t="s">
        <v>27</v>
      </c>
      <c r="D3" t="s">
        <v>10</v>
      </c>
      <c r="E3" t="s">
        <v>11</v>
      </c>
      <c r="F3" t="s">
        <v>29</v>
      </c>
      <c r="H3" t="s">
        <v>47</v>
      </c>
      <c r="I3" t="s">
        <v>50</v>
      </c>
    </row>
    <row r="4" spans="1:9" x14ac:dyDescent="0.35">
      <c r="B4" t="s">
        <v>45</v>
      </c>
      <c r="D4" t="s">
        <v>41</v>
      </c>
      <c r="E4" t="s">
        <v>42</v>
      </c>
      <c r="F4" t="s">
        <v>43</v>
      </c>
    </row>
    <row r="5" spans="1:9" x14ac:dyDescent="0.35">
      <c r="F5" t="s">
        <v>44</v>
      </c>
    </row>
    <row r="6" spans="1:9" x14ac:dyDescent="0.35">
      <c r="F6" t="s">
        <v>307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TD_Product</vt:lpstr>
      <vt:lpstr>RelatedName_SKU</vt:lpstr>
      <vt:lpstr>Helper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Tran Hoang</dc:creator>
  <cp:lastModifiedBy>Vu Tran Hoang</cp:lastModifiedBy>
  <dcterms:created xsi:type="dcterms:W3CDTF">2026-04-22T02:11:48Z</dcterms:created>
  <dcterms:modified xsi:type="dcterms:W3CDTF">2026-04-28T05:02:59Z</dcterms:modified>
</cp:coreProperties>
</file>